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Base_Bruta" sheetId="2" state="visible" r:id="rId4"/>
    <sheet name="Power_Query_ETL" sheetId="3" state="visible" r:id="rId5"/>
    <sheet name="Base_Tratada" sheetId="4" state="visible" r:id="rId6"/>
    <sheet name="Medidas_Indicadores" sheetId="5" state="visible" r:id="rId7"/>
    <sheet name="Tabela_Dinamica" sheetId="6" state="visible" r:id="rId8"/>
    <sheet name="Dashboard" sheetId="7" state="visible" r:id="rId9"/>
  </sheets>
  <definedNames>
    <definedName function="false" hidden="false" name="Medida_LucroTotal" vbProcedure="false">Medidas_Indicadores!$D$6</definedName>
    <definedName function="false" hidden="false" name="Medida_MargemMedia" vbProcedure="false">Medidas_Indicadores!$D$7</definedName>
    <definedName function="false" hidden="false" name="Medida_QtdTotal" vbProcedure="false">Medidas_Indicadores!$D$10</definedName>
    <definedName function="false" hidden="false" name="Medida_ReceitaTotal" vbProcedure="false">Medidas_Indicadores!$D$5</definedName>
    <definedName function="false" hidden="false" name="Medida_TicketMedio" vbProcedure="false">Medidas_Indicadores!$D$9</definedName>
    <definedName function="false" hidden="false" name="Medida_TotalPedidos" vbProcedure="false">Medidas_Indicadores!$D$8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<sst xmlns="http://schemas.openxmlformats.org/spreadsheetml/2006/main" count="6090" uniqueCount="1219">
  <si>
    <t xml:space="preserve">Capacitação Ciência de Dados — Asimov Jr</t>
  </si>
  <si>
    <t xml:space="preserve">Semana 9 — Excel Avançado: Power Query</t>
  </si>
  <si>
    <t xml:space="preserve">Dataset: Vendas de uma Loja de Eletrônicos (2023–2024) — mesma base da Semana 8</t>
  </si>
  <si>
    <t xml:space="preserve">Desta vez recebida em formato bruto/sujo, simulando uma exportação real de sistema legado.</t>
  </si>
  <si>
    <t xml:space="preserve">Estrutura da pasta de trabalho:</t>
  </si>
  <si>
    <t xml:space="preserve">• Base_Bruta</t>
  </si>
  <si>
    <t xml:space="preserve">Exportação bruta (434 linhas), com cabeçalhos inconsistentes, texto sujo, duplicatas, nulos e erros de digitação.</t>
  </si>
  <si>
    <t xml:space="preserve">• Power_Query_ETL</t>
  </si>
  <si>
    <t xml:space="preserve">Passo a passo da importação/tratamento no Power Query, incluindo o código M completo (pronto para colar no Editor Avançado).</t>
  </si>
  <si>
    <t xml:space="preserve">• Base_Tratada</t>
  </si>
  <si>
    <t xml:space="preserve">Resultado do carregamento do Power Query (411 linhas limpas) — Fechar e Carregar como Tabela.</t>
  </si>
  <si>
    <t xml:space="preserve">• Medidas_Indicadores</t>
  </si>
  <si>
    <t xml:space="preserve">Indicadores construídos como medidas nomeadas + buscas avançadas com múltiplos critérios.</t>
  </si>
  <si>
    <t xml:space="preserve">• Tabela_Dinamica</t>
  </si>
  <si>
    <t xml:space="preserve">Tabela dinâmica estruturada (Categoria x Canal) com totais, construída sobre a Base_Tratada.</t>
  </si>
  <si>
    <t xml:space="preserve">• Dashboard</t>
  </si>
  <si>
    <t xml:space="preserve">Mini dashboard analítico com cartões de indicadores e gráficos.</t>
  </si>
  <si>
    <t xml:space="preserve">Autor: Mazzer | UNIFEI — Asimov Jr Data Science</t>
  </si>
  <si>
    <t xml:space="preserve">id_venda</t>
  </si>
  <si>
    <t xml:space="preserve">DATA_VENDA</t>
  </si>
  <si>
    <t xml:space="preserve"> regiao</t>
  </si>
  <si>
    <t xml:space="preserve">categoria </t>
  </si>
  <si>
    <t xml:space="preserve">Produto</t>
  </si>
  <si>
    <t xml:space="preserve">CANAL </t>
  </si>
  <si>
    <t xml:space="preserve">segmento</t>
  </si>
  <si>
    <t xml:space="preserve">Cliente </t>
  </si>
  <si>
    <t xml:space="preserve">QTD</t>
  </si>
  <si>
    <t xml:space="preserve">preco_unitario</t>
  </si>
  <si>
    <t xml:space="preserve">custo_unitario</t>
  </si>
  <si>
    <t xml:space="preserve">Observacao</t>
  </si>
  <si>
    <t xml:space="preserve">04/08/2023</t>
  </si>
  <si>
    <t xml:space="preserve">  NORDESTE </t>
  </si>
  <si>
    <t xml:space="preserve">  ACESSÓRIOS </t>
  </si>
  <si>
    <t xml:space="preserve">  Película Vidro </t>
  </si>
  <si>
    <t xml:space="preserve"> online  </t>
  </si>
  <si>
    <t xml:space="preserve">Pessoa Física</t>
  </si>
  <si>
    <t xml:space="preserve">  Sabrina Castro  </t>
  </si>
  <si>
    <t xml:space="preserve">06/03/2023</t>
  </si>
  <si>
    <t xml:space="preserve">NORDESTE</t>
  </si>
  <si>
    <t xml:space="preserve"> FONES DE OUVIDO  </t>
  </si>
  <si>
    <t xml:space="preserve">  AirPods 2 </t>
  </si>
  <si>
    <t xml:space="preserve"> online </t>
  </si>
  <si>
    <t xml:space="preserve">Rafael Teixeira </t>
  </si>
  <si>
    <t xml:space="preserve">08/02/2024</t>
  </si>
  <si>
    <t xml:space="preserve">  sudeste </t>
  </si>
  <si>
    <t xml:space="preserve"> tablets </t>
  </si>
  <si>
    <t xml:space="preserve"> Galaxy Tab A8</t>
  </si>
  <si>
    <t xml:space="preserve">  online</t>
  </si>
  <si>
    <t xml:space="preserve"> Patrícia Gomes  </t>
  </si>
  <si>
    <t xml:space="preserve">28/09/2023</t>
  </si>
  <si>
    <t xml:space="preserve"> SUDESTE  </t>
  </si>
  <si>
    <t xml:space="preserve">FONES DE OUVIDO </t>
  </si>
  <si>
    <t xml:space="preserve">JBL Tune 510BT  </t>
  </si>
  <si>
    <t xml:space="preserve">  LOJA FÍSICA  </t>
  </si>
  <si>
    <t xml:space="preserve">Pessoa Jurídica</t>
  </si>
  <si>
    <t xml:space="preserve">Sabrina  Castro </t>
  </si>
  <si>
    <t xml:space="preserve">28/08/2023</t>
  </si>
  <si>
    <t xml:space="preserve">  Sudeste</t>
  </si>
  <si>
    <t xml:space="preserve">  Acessórios  </t>
  </si>
  <si>
    <t xml:space="preserve">  Suporte Veicular  </t>
  </si>
  <si>
    <t xml:space="preserve"> LOJA FÍSICA</t>
  </si>
  <si>
    <t xml:space="preserve"> Elaine  Rocha </t>
  </si>
  <si>
    <t xml:space="preserve">13/05/2023</t>
  </si>
  <si>
    <t xml:space="preserve">  SUDESTE </t>
  </si>
  <si>
    <t xml:space="preserve">  FONES DE OUVIDO</t>
  </si>
  <si>
    <t xml:space="preserve">  Galaxy Buds FE  </t>
  </si>
  <si>
    <t xml:space="preserve">online </t>
  </si>
  <si>
    <t xml:space="preserve"> João  Ferreira  </t>
  </si>
  <si>
    <t xml:space="preserve">14/07/2023</t>
  </si>
  <si>
    <t xml:space="preserve">  Nordeste  </t>
  </si>
  <si>
    <t xml:space="preserve"> tablets  </t>
  </si>
  <si>
    <t xml:space="preserve">iPad 9ª Ger</t>
  </si>
  <si>
    <t xml:space="preserve">  Loja Física </t>
  </si>
  <si>
    <t xml:space="preserve">Elaine  Rocha</t>
  </si>
  <si>
    <t xml:space="preserve">22/02/2024</t>
  </si>
  <si>
    <t xml:space="preserve">fones de ouvido </t>
  </si>
  <si>
    <t xml:space="preserve">Galaxy Buds FE </t>
  </si>
  <si>
    <t xml:space="preserve"> loja física  </t>
  </si>
  <si>
    <t xml:space="preserve">João  Ferreira</t>
  </si>
  <si>
    <t xml:space="preserve"> sudeste </t>
  </si>
  <si>
    <t xml:space="preserve">  Fones de Ouvido </t>
  </si>
  <si>
    <t xml:space="preserve"> Fone Bluetooth XPTO</t>
  </si>
  <si>
    <t xml:space="preserve">  LOJA FÍSICA</t>
  </si>
  <si>
    <t xml:space="preserve"> Gabriela Alves </t>
  </si>
  <si>
    <t xml:space="preserve">30/07/2023</t>
  </si>
  <si>
    <t xml:space="preserve">NORDESTE </t>
  </si>
  <si>
    <t xml:space="preserve">LOJA FÍSICA </t>
  </si>
  <si>
    <t xml:space="preserve">  Patrícia Gomes  </t>
  </si>
  <si>
    <t xml:space="preserve">01/09/2023</t>
  </si>
  <si>
    <t xml:space="preserve"> Sudeste </t>
  </si>
  <si>
    <t xml:space="preserve"> notebooks </t>
  </si>
  <si>
    <t xml:space="preserve">Vivobook 15  </t>
  </si>
  <si>
    <t xml:space="preserve"> Online </t>
  </si>
  <si>
    <t xml:space="preserve">Gabriela  Alves</t>
  </si>
  <si>
    <t xml:space="preserve">23/05/2024</t>
  </si>
  <si>
    <t xml:space="preserve"> Tablets  </t>
  </si>
  <si>
    <t xml:space="preserve">  iPad 9ª Ger </t>
  </si>
  <si>
    <t xml:space="preserve">Sabrina  Castro  </t>
  </si>
  <si>
    <t xml:space="preserve">06/11/2024</t>
  </si>
  <si>
    <t xml:space="preserve">  Sul</t>
  </si>
  <si>
    <t xml:space="preserve">acessórios  </t>
  </si>
  <si>
    <t xml:space="preserve"> Cabo USB-C </t>
  </si>
  <si>
    <t xml:space="preserve">Loja Física </t>
  </si>
  <si>
    <t xml:space="preserve">  Nicolas Barros</t>
  </si>
  <si>
    <t xml:space="preserve">25/11/2024</t>
  </si>
  <si>
    <t xml:space="preserve"> Sul</t>
  </si>
  <si>
    <t xml:space="preserve">  fones de ouvido  </t>
  </si>
  <si>
    <t xml:space="preserve">Fone Bluetooth XPTO</t>
  </si>
  <si>
    <t xml:space="preserve"> Loja Física  </t>
  </si>
  <si>
    <t xml:space="preserve"> Diego Lima</t>
  </si>
  <si>
    <t xml:space="preserve">27/02/2024</t>
  </si>
  <si>
    <t xml:space="preserve">nordeste</t>
  </si>
  <si>
    <t xml:space="preserve">Notebooks </t>
  </si>
  <si>
    <t xml:space="preserve">ThinkPad E14  </t>
  </si>
  <si>
    <t xml:space="preserve">  Online </t>
  </si>
  <si>
    <t xml:space="preserve"> Sabrina Castro  </t>
  </si>
  <si>
    <t xml:space="preserve">27/12/2023</t>
  </si>
  <si>
    <t xml:space="preserve"> centro-oeste  </t>
  </si>
  <si>
    <t xml:space="preserve">Fone Bluetooth XPTO  </t>
  </si>
  <si>
    <t xml:space="preserve">  Loja Física  </t>
  </si>
  <si>
    <t xml:space="preserve">  João Ferreira  </t>
  </si>
  <si>
    <t xml:space="preserve">05/02/2023</t>
  </si>
  <si>
    <t xml:space="preserve">SMARTPHONES  </t>
  </si>
  <si>
    <t xml:space="preserve">Moto G84 </t>
  </si>
  <si>
    <t xml:space="preserve">  Mariana Ribeiro  </t>
  </si>
  <si>
    <t xml:space="preserve">30/09/2024</t>
  </si>
  <si>
    <t xml:space="preserve">  Notebooks</t>
  </si>
  <si>
    <t xml:space="preserve"> ThinkPad E14</t>
  </si>
  <si>
    <t xml:space="preserve">  Sabrina  Castro  </t>
  </si>
  <si>
    <t xml:space="preserve">11/04/2023</t>
  </si>
  <si>
    <t xml:space="preserve">  Sudeste </t>
  </si>
  <si>
    <t xml:space="preserve"> NOTEBOOKS</t>
  </si>
  <si>
    <t xml:space="preserve"> MacBook Air M1 </t>
  </si>
  <si>
    <t xml:space="preserve"> Online</t>
  </si>
  <si>
    <t xml:space="preserve">  Diego  Lima</t>
  </si>
  <si>
    <t xml:space="preserve">06/10/2023</t>
  </si>
  <si>
    <t xml:space="preserve">  Norte  </t>
  </si>
  <si>
    <t xml:space="preserve"> Smartphones</t>
  </si>
  <si>
    <t xml:space="preserve">  Galaxy A54</t>
  </si>
  <si>
    <t xml:space="preserve"> Sabrina Castro </t>
  </si>
  <si>
    <t xml:space="preserve">01/02/2023</t>
  </si>
  <si>
    <t xml:space="preserve"> sul </t>
  </si>
  <si>
    <t xml:space="preserve">  Fone Bluetooth XPTO </t>
  </si>
  <si>
    <t xml:space="preserve"> LOJA FÍSICA </t>
  </si>
  <si>
    <t xml:space="preserve">Otávio  Nunes</t>
  </si>
  <si>
    <t xml:space="preserve">19/04/2024</t>
  </si>
  <si>
    <t xml:space="preserve">SUDESTE</t>
  </si>
  <si>
    <t xml:space="preserve">tablets  </t>
  </si>
  <si>
    <t xml:space="preserve"> Lenovo Tab M10 </t>
  </si>
  <si>
    <t xml:space="preserve">online</t>
  </si>
  <si>
    <t xml:space="preserve"> Otávio  Nunes </t>
  </si>
  <si>
    <t xml:space="preserve">02/02/2023</t>
  </si>
  <si>
    <t xml:space="preserve"> norte</t>
  </si>
  <si>
    <t xml:space="preserve"> acessórios</t>
  </si>
  <si>
    <t xml:space="preserve">João Ferreira </t>
  </si>
  <si>
    <t xml:space="preserve">19/03/2023</t>
  </si>
  <si>
    <t xml:space="preserve">  CENTRO-OESTE  </t>
  </si>
  <si>
    <t xml:space="preserve">  smartphones</t>
  </si>
  <si>
    <t xml:space="preserve"> Redmi Note 12  </t>
  </si>
  <si>
    <t xml:space="preserve">LOJA FÍSICA</t>
  </si>
  <si>
    <t xml:space="preserve">  Bruno Costa</t>
  </si>
  <si>
    <t xml:space="preserve">06/06/2024</t>
  </si>
  <si>
    <t xml:space="preserve"> Carregador Turbo </t>
  </si>
  <si>
    <t xml:space="preserve"> Online  </t>
  </si>
  <si>
    <t xml:space="preserve">Thiago  Moreira </t>
  </si>
  <si>
    <t xml:space="preserve">02/05/2023</t>
  </si>
  <si>
    <t xml:space="preserve"> Sudeste</t>
  </si>
  <si>
    <t xml:space="preserve"> acessórios </t>
  </si>
  <si>
    <t xml:space="preserve"> Capinha Silicone</t>
  </si>
  <si>
    <t xml:space="preserve">loja física </t>
  </si>
  <si>
    <t xml:space="preserve">Otávio Nunes  </t>
  </si>
  <si>
    <t xml:space="preserve">06/03/2024</t>
  </si>
  <si>
    <t xml:space="preserve"> Acessórios </t>
  </si>
  <si>
    <t xml:space="preserve">Suporte Veicular</t>
  </si>
  <si>
    <t xml:space="preserve"> Isabela Martins </t>
  </si>
  <si>
    <t xml:space="preserve">17/07/2024</t>
  </si>
  <si>
    <t xml:space="preserve">  Centro-Oeste </t>
  </si>
  <si>
    <t xml:space="preserve">  tablets </t>
  </si>
  <si>
    <t xml:space="preserve">iPad 9ª Ger </t>
  </si>
  <si>
    <t xml:space="preserve"> Loja Física </t>
  </si>
  <si>
    <t xml:space="preserve">Ana Silva</t>
  </si>
  <si>
    <t xml:space="preserve">08/12/2023</t>
  </si>
  <si>
    <t xml:space="preserve">FONES DE OUVIDO</t>
  </si>
  <si>
    <t xml:space="preserve"> JBL Tune 510BT </t>
  </si>
  <si>
    <t xml:space="preserve">  Sabrina  Castro</t>
  </si>
  <si>
    <t xml:space="preserve">24/03/2024</t>
  </si>
  <si>
    <t xml:space="preserve">  Sudeste  </t>
  </si>
  <si>
    <t xml:space="preserve">Carregador Turbo  </t>
  </si>
  <si>
    <t xml:space="preserve">  Diego Lima  </t>
  </si>
  <si>
    <t xml:space="preserve">01/05/2023</t>
  </si>
  <si>
    <t xml:space="preserve">CENTRO-OESTE  </t>
  </si>
  <si>
    <t xml:space="preserve">Tablets  </t>
  </si>
  <si>
    <t xml:space="preserve">  Online  </t>
  </si>
  <si>
    <t xml:space="preserve"> Isabela  Martins </t>
  </si>
  <si>
    <t xml:space="preserve">09/08/2023</t>
  </si>
  <si>
    <t xml:space="preserve">  Smartphones </t>
  </si>
  <si>
    <t xml:space="preserve">  iPhone 13</t>
  </si>
  <si>
    <t xml:space="preserve">Patrícia Gomes  </t>
  </si>
  <si>
    <t xml:space="preserve">20/06/2023</t>
  </si>
  <si>
    <t xml:space="preserve"> Sudeste  </t>
  </si>
  <si>
    <t xml:space="preserve">  FONES DE OUVIDO  </t>
  </si>
  <si>
    <t xml:space="preserve">  ONLINE </t>
  </si>
  <si>
    <t xml:space="preserve">  Hugo Pereira</t>
  </si>
  <si>
    <t xml:space="preserve">25/06/2023</t>
  </si>
  <si>
    <t xml:space="preserve">Sul</t>
  </si>
  <si>
    <t xml:space="preserve"> Smartphones </t>
  </si>
  <si>
    <t xml:space="preserve">iPhone 13  </t>
  </si>
  <si>
    <t xml:space="preserve">ONLINE </t>
  </si>
  <si>
    <t xml:space="preserve">  Thiago  Moreira </t>
  </si>
  <si>
    <t xml:space="preserve">10/07/2024</t>
  </si>
  <si>
    <t xml:space="preserve">  NOTEBOOKS</t>
  </si>
  <si>
    <t xml:space="preserve">Inspiron 15 </t>
  </si>
  <si>
    <t xml:space="preserve">ONLINE</t>
  </si>
  <si>
    <t xml:space="preserve"> Sabrina  Castro  </t>
  </si>
  <si>
    <t xml:space="preserve">22/05/2024</t>
  </si>
  <si>
    <t xml:space="preserve">Nordeste  </t>
  </si>
  <si>
    <t xml:space="preserve">  notebooks </t>
  </si>
  <si>
    <t xml:space="preserve">Inspiron 15</t>
  </si>
  <si>
    <t xml:space="preserve">Mariana  Ribeiro</t>
  </si>
  <si>
    <t xml:space="preserve">14/12/2023</t>
  </si>
  <si>
    <t xml:space="preserve">SUDESTE </t>
  </si>
  <si>
    <t xml:space="preserve"> tablets</t>
  </si>
  <si>
    <t xml:space="preserve">  iPad 9ª Ger  </t>
  </si>
  <si>
    <t xml:space="preserve">loja física  </t>
  </si>
  <si>
    <t xml:space="preserve">  Carla Souza  </t>
  </si>
  <si>
    <t xml:space="preserve">18/08/2023</t>
  </si>
  <si>
    <t xml:space="preserve">nordeste  </t>
  </si>
  <si>
    <t xml:space="preserve">Acessórios  </t>
  </si>
  <si>
    <t xml:space="preserve"> Suporte Veicular</t>
  </si>
  <si>
    <t xml:space="preserve">Rafael  Teixeira</t>
  </si>
  <si>
    <t xml:space="preserve">28/11/2023</t>
  </si>
  <si>
    <t xml:space="preserve">  Fones de Ouvido  </t>
  </si>
  <si>
    <t xml:space="preserve">AirPods 2</t>
  </si>
  <si>
    <t xml:space="preserve"> Nicolas Barros </t>
  </si>
  <si>
    <t xml:space="preserve">19/06/2023</t>
  </si>
  <si>
    <t xml:space="preserve">norte</t>
  </si>
  <si>
    <t xml:space="preserve"> SMARTPHONES </t>
  </si>
  <si>
    <t xml:space="preserve">  iPhone 13 </t>
  </si>
  <si>
    <t xml:space="preserve"> LOJA FÍSICA  </t>
  </si>
  <si>
    <t xml:space="preserve">29/02/2024</t>
  </si>
  <si>
    <t xml:space="preserve"> sudeste  </t>
  </si>
  <si>
    <t xml:space="preserve">NOTEBOOKS </t>
  </si>
  <si>
    <t xml:space="preserve">MacBook Air M1</t>
  </si>
  <si>
    <t xml:space="preserve">Loja Física  </t>
  </si>
  <si>
    <t xml:space="preserve"> Diego Lima  </t>
  </si>
  <si>
    <t xml:space="preserve">20/04/2024</t>
  </si>
  <si>
    <t xml:space="preserve">  Smartphones  </t>
  </si>
  <si>
    <t xml:space="preserve"> Galaxy A54  </t>
  </si>
  <si>
    <t xml:space="preserve">  Diego Lima </t>
  </si>
  <si>
    <t xml:space="preserve">10/04/2024</t>
  </si>
  <si>
    <t xml:space="preserve">SUDESTE  </t>
  </si>
  <si>
    <t xml:space="preserve">ACESSÓRIOS </t>
  </si>
  <si>
    <t xml:space="preserve">Película Vidro</t>
  </si>
  <si>
    <t xml:space="preserve">  Karina  Dias  </t>
  </si>
  <si>
    <t xml:space="preserve">05/08/2023</t>
  </si>
  <si>
    <t xml:space="preserve"> NORDESTE  </t>
  </si>
  <si>
    <t xml:space="preserve">  SMARTPHONES </t>
  </si>
  <si>
    <t xml:space="preserve">  Galaxy S23</t>
  </si>
  <si>
    <t xml:space="preserve">  Karina  Dias</t>
  </si>
  <si>
    <t xml:space="preserve">03/12/2024</t>
  </si>
  <si>
    <t xml:space="preserve">Hugo Pereira</t>
  </si>
  <si>
    <t xml:space="preserve">17/08/2024</t>
  </si>
  <si>
    <t xml:space="preserve"> SUL</t>
  </si>
  <si>
    <t xml:space="preserve">tablets </t>
  </si>
  <si>
    <t xml:space="preserve">Lenovo Tab M10 </t>
  </si>
  <si>
    <t xml:space="preserve">ONLINE  </t>
  </si>
  <si>
    <t xml:space="preserve"> João Ferreira </t>
  </si>
  <si>
    <t xml:space="preserve">22/06/2023</t>
  </si>
  <si>
    <t xml:space="preserve">Nordeste</t>
  </si>
  <si>
    <t xml:space="preserve"> Fones de Ouvido </t>
  </si>
  <si>
    <t xml:space="preserve">  Patrícia Gomes </t>
  </si>
  <si>
    <t xml:space="preserve">04/05/2024</t>
  </si>
  <si>
    <t xml:space="preserve">centro-oeste</t>
  </si>
  <si>
    <t xml:space="preserve">10/10/2023</t>
  </si>
  <si>
    <t xml:space="preserve">NORTE</t>
  </si>
  <si>
    <t xml:space="preserve"> fones de ouvido </t>
  </si>
  <si>
    <t xml:space="preserve">AirPods 2  </t>
  </si>
  <si>
    <t xml:space="preserve">loja física</t>
  </si>
  <si>
    <t xml:space="preserve"> Mariana Ribeiro  </t>
  </si>
  <si>
    <t xml:space="preserve">22/04/2023</t>
  </si>
  <si>
    <t xml:space="preserve">CENTRO-OESTE </t>
  </si>
  <si>
    <t xml:space="preserve">  IdeaPad 3 </t>
  </si>
  <si>
    <t xml:space="preserve">Online  </t>
  </si>
  <si>
    <t xml:space="preserve">29/08/2023</t>
  </si>
  <si>
    <t xml:space="preserve"> Nordeste  </t>
  </si>
  <si>
    <t xml:space="preserve">  Fones de Ouvido</t>
  </si>
  <si>
    <t xml:space="preserve">  JBL Tune 510BT </t>
  </si>
  <si>
    <t xml:space="preserve">  loja física  </t>
  </si>
  <si>
    <t xml:space="preserve">Isabela Martins </t>
  </si>
  <si>
    <t xml:space="preserve">08/08/2024</t>
  </si>
  <si>
    <t xml:space="preserve">  fones de ouvido</t>
  </si>
  <si>
    <t xml:space="preserve"> Hugo Pereira </t>
  </si>
  <si>
    <t xml:space="preserve">13/04/2023</t>
  </si>
  <si>
    <t xml:space="preserve"> JBL Tune 510BT  </t>
  </si>
  <si>
    <t xml:space="preserve"> Vanessa  Cardoso  </t>
  </si>
  <si>
    <t xml:space="preserve">02/05/2024</t>
  </si>
  <si>
    <t xml:space="preserve"> SUDESTE</t>
  </si>
  <si>
    <t xml:space="preserve"> TABLETS</t>
  </si>
  <si>
    <t xml:space="preserve">Galaxy Tab A8</t>
  </si>
  <si>
    <t xml:space="preserve">Online </t>
  </si>
  <si>
    <t xml:space="preserve">  Fábio Santos</t>
  </si>
  <si>
    <t xml:space="preserve">revisar</t>
  </si>
  <si>
    <t xml:space="preserve">28/06/2024</t>
  </si>
  <si>
    <t xml:space="preserve">  acessórios </t>
  </si>
  <si>
    <t xml:space="preserve"> Nicolas Barros  </t>
  </si>
  <si>
    <t xml:space="preserve">25/04/2024</t>
  </si>
  <si>
    <t xml:space="preserve">  sul  </t>
  </si>
  <si>
    <t xml:space="preserve">  smartphones </t>
  </si>
  <si>
    <t xml:space="preserve"> Elaine Rocha</t>
  </si>
  <si>
    <t xml:space="preserve"> sul  </t>
  </si>
  <si>
    <t xml:space="preserve"> FONES DE OUVIDO</t>
  </si>
  <si>
    <t xml:space="preserve">  AirPods 2  </t>
  </si>
  <si>
    <t xml:space="preserve">15/04/2023</t>
  </si>
  <si>
    <t xml:space="preserve">Sudeste </t>
  </si>
  <si>
    <t xml:space="preserve"> notebooks  </t>
  </si>
  <si>
    <t xml:space="preserve">MacBook Air M1  </t>
  </si>
  <si>
    <t xml:space="preserve">  Elaine Rocha  </t>
  </si>
  <si>
    <t xml:space="preserve">17/07/2023</t>
  </si>
  <si>
    <t xml:space="preserve"> Norte  </t>
  </si>
  <si>
    <t xml:space="preserve">26/12/2023</t>
  </si>
  <si>
    <t xml:space="preserve">Smartphones  </t>
  </si>
  <si>
    <t xml:space="preserve">Galaxy S23  </t>
  </si>
  <si>
    <t xml:space="preserve">  Loja Física</t>
  </si>
  <si>
    <t xml:space="preserve"> Mariana Ribeiro </t>
  </si>
  <si>
    <t xml:space="preserve"> Fones de Ouvido  </t>
  </si>
  <si>
    <t xml:space="preserve"> Diego Lima </t>
  </si>
  <si>
    <t xml:space="preserve">15/04/2024</t>
  </si>
  <si>
    <t xml:space="preserve">  centro-oeste  </t>
  </si>
  <si>
    <t xml:space="preserve"> Inspiron 15 </t>
  </si>
  <si>
    <t xml:space="preserve">  Otávio Nunes  </t>
  </si>
  <si>
    <t xml:space="preserve">07/04/2023</t>
  </si>
  <si>
    <t xml:space="preserve">acessórios</t>
  </si>
  <si>
    <t xml:space="preserve">  Carregador Turbo</t>
  </si>
  <si>
    <t xml:space="preserve">Loja Física</t>
  </si>
  <si>
    <t xml:space="preserve">  Vanessa  Cardoso  </t>
  </si>
  <si>
    <t xml:space="preserve">21/11/2024</t>
  </si>
  <si>
    <t xml:space="preserve">SMARTPHONES </t>
  </si>
  <si>
    <t xml:space="preserve">  Moto G84 </t>
  </si>
  <si>
    <t xml:space="preserve">Fábio  Santos</t>
  </si>
  <si>
    <t xml:space="preserve">31/08/2024</t>
  </si>
  <si>
    <t xml:space="preserve"> sudeste</t>
  </si>
  <si>
    <t xml:space="preserve"> iPhone 13</t>
  </si>
  <si>
    <t xml:space="preserve"> loja física</t>
  </si>
  <si>
    <t xml:space="preserve">Rafael  Teixeira  </t>
  </si>
  <si>
    <t xml:space="preserve"> Centro-Oeste </t>
  </si>
  <si>
    <t xml:space="preserve">  Redmi Note 12  </t>
  </si>
  <si>
    <t xml:space="preserve">  Online</t>
  </si>
  <si>
    <t xml:space="preserve">Diego Lima  </t>
  </si>
  <si>
    <t xml:space="preserve">14/11/2024</t>
  </si>
  <si>
    <t xml:space="preserve">  Norte</t>
  </si>
  <si>
    <t xml:space="preserve">  Redmi Note 12 </t>
  </si>
  <si>
    <t xml:space="preserve"> ONLINE</t>
  </si>
  <si>
    <t xml:space="preserve"> Ana Silva</t>
  </si>
  <si>
    <t xml:space="preserve">24/07/2024</t>
  </si>
  <si>
    <t xml:space="preserve">  ACESSÓRIOS</t>
  </si>
  <si>
    <t xml:space="preserve">Capinha Silicone </t>
  </si>
  <si>
    <t xml:space="preserve"> ONLINE </t>
  </si>
  <si>
    <t xml:space="preserve">  Elaine  Rocha</t>
  </si>
  <si>
    <t xml:space="preserve">05/04/2023</t>
  </si>
  <si>
    <t xml:space="preserve"> SUL  </t>
  </si>
  <si>
    <t xml:space="preserve"> Tablets</t>
  </si>
  <si>
    <t xml:space="preserve">Lenovo Tab M10  </t>
  </si>
  <si>
    <t xml:space="preserve">Online</t>
  </si>
  <si>
    <t xml:space="preserve">  sul</t>
  </si>
  <si>
    <t xml:space="preserve">TABLETS </t>
  </si>
  <si>
    <t xml:space="preserve">Lenovo Tab M10</t>
  </si>
  <si>
    <t xml:space="preserve">  loja física </t>
  </si>
  <si>
    <t xml:space="preserve"> Rafael  Teixeira  </t>
  </si>
  <si>
    <t xml:space="preserve">01/01/2024</t>
  </si>
  <si>
    <t xml:space="preserve">  SUDESTE  </t>
  </si>
  <si>
    <t xml:space="preserve">ACESSÓRIOS  </t>
  </si>
  <si>
    <t xml:space="preserve">  Carregador Turbo </t>
  </si>
  <si>
    <t xml:space="preserve">  Ana  Silva</t>
  </si>
  <si>
    <t xml:space="preserve">03/03/2023</t>
  </si>
  <si>
    <t xml:space="preserve"> norte  </t>
  </si>
  <si>
    <t xml:space="preserve">tablets</t>
  </si>
  <si>
    <t xml:space="preserve">  online </t>
  </si>
  <si>
    <t xml:space="preserve">Thiago Moreira</t>
  </si>
  <si>
    <t xml:space="preserve">15/05/2024</t>
  </si>
  <si>
    <t xml:space="preserve">10/03/2023</t>
  </si>
  <si>
    <t xml:space="preserve">  Centro-Oeste</t>
  </si>
  <si>
    <t xml:space="preserve"> Otávio Nunes  </t>
  </si>
  <si>
    <t xml:space="preserve">19/05/2023</t>
  </si>
  <si>
    <t xml:space="preserve">smartphones </t>
  </si>
  <si>
    <t xml:space="preserve">  iPhone 13  </t>
  </si>
  <si>
    <t xml:space="preserve">10/02/2024</t>
  </si>
  <si>
    <t xml:space="preserve">  Nordeste </t>
  </si>
  <si>
    <t xml:space="preserve"> fones de ouvido  </t>
  </si>
  <si>
    <t xml:space="preserve"> JBL Tune 510BT</t>
  </si>
  <si>
    <t xml:space="preserve">Fábio  Santos  </t>
  </si>
  <si>
    <t xml:space="preserve">14/06/2024</t>
  </si>
  <si>
    <t xml:space="preserve"> CENTRO-OESTE</t>
  </si>
  <si>
    <t xml:space="preserve">  SMARTPHONES  </t>
  </si>
  <si>
    <t xml:space="preserve"> Galaxy S23  </t>
  </si>
  <si>
    <t xml:space="preserve"> Elaine  Rocha  </t>
  </si>
  <si>
    <t xml:space="preserve">07/06/2024</t>
  </si>
  <si>
    <t xml:space="preserve">Galaxy Buds FE  </t>
  </si>
  <si>
    <t xml:space="preserve">  Fábio Santos </t>
  </si>
  <si>
    <t xml:space="preserve">06/05/2023</t>
  </si>
  <si>
    <t xml:space="preserve"> norte </t>
  </si>
  <si>
    <t xml:space="preserve"> Galaxy Buds FE  </t>
  </si>
  <si>
    <t xml:space="preserve">  João  Ferreira </t>
  </si>
  <si>
    <t xml:space="preserve">17/03/2023</t>
  </si>
  <si>
    <t xml:space="preserve">  NORDESTE  </t>
  </si>
  <si>
    <t xml:space="preserve">  SMARTPHONES</t>
  </si>
  <si>
    <t xml:space="preserve"> Galaxy A54</t>
  </si>
  <si>
    <t xml:space="preserve">Lucas  Oliveira </t>
  </si>
  <si>
    <t xml:space="preserve">01/11/2024</t>
  </si>
  <si>
    <t xml:space="preserve"> AirPods 2  </t>
  </si>
  <si>
    <t xml:space="preserve">  online  </t>
  </si>
  <si>
    <t xml:space="preserve">Diego Lima </t>
  </si>
  <si>
    <t xml:space="preserve">nordeste </t>
  </si>
  <si>
    <t xml:space="preserve">  Notebooks </t>
  </si>
  <si>
    <t xml:space="preserve">  Vivobook 15  </t>
  </si>
  <si>
    <t xml:space="preserve">11/05/2024</t>
  </si>
  <si>
    <t xml:space="preserve">  sul </t>
  </si>
  <si>
    <t xml:space="preserve">  Tablets  </t>
  </si>
  <si>
    <t xml:space="preserve">  Patrícia  Gomes  </t>
  </si>
  <si>
    <t xml:space="preserve">09/02/2024</t>
  </si>
  <si>
    <t xml:space="preserve">João  Ferreira </t>
  </si>
  <si>
    <t xml:space="preserve">16/12/2024</t>
  </si>
  <si>
    <t xml:space="preserve">  Sul </t>
  </si>
  <si>
    <t xml:space="preserve"> Cabo USB-C  </t>
  </si>
  <si>
    <t xml:space="preserve">  Hugo Pereira  </t>
  </si>
  <si>
    <t xml:space="preserve">06/07/2023</t>
  </si>
  <si>
    <t xml:space="preserve">iPad 9ª Ger  </t>
  </si>
  <si>
    <t xml:space="preserve">Fábio  Santos </t>
  </si>
  <si>
    <t xml:space="preserve">16/11/2023</t>
  </si>
  <si>
    <t xml:space="preserve">SMARTPHONES</t>
  </si>
  <si>
    <t xml:space="preserve">iPhone 13 </t>
  </si>
  <si>
    <t xml:space="preserve">  Carla  Souza  </t>
  </si>
  <si>
    <t xml:space="preserve">24/05/2024</t>
  </si>
  <si>
    <t xml:space="preserve"> Notebooks  </t>
  </si>
  <si>
    <t xml:space="preserve">  Inspiron 15</t>
  </si>
  <si>
    <t xml:space="preserve">Otávio  Nunes  </t>
  </si>
  <si>
    <t xml:space="preserve">  Sul  </t>
  </si>
  <si>
    <t xml:space="preserve"> Moto G84  </t>
  </si>
  <si>
    <t xml:space="preserve"> João Ferreira</t>
  </si>
  <si>
    <t xml:space="preserve">05/03/2024</t>
  </si>
  <si>
    <t xml:space="preserve">Sudeste  </t>
  </si>
  <si>
    <t xml:space="preserve"> Galaxy Tab A8  </t>
  </si>
  <si>
    <t xml:space="preserve"> ONLINE  </t>
  </si>
  <si>
    <t xml:space="preserve">  Thiago Moreira  </t>
  </si>
  <si>
    <t xml:space="preserve">Karina Dias  </t>
  </si>
  <si>
    <t xml:space="preserve">08/12/2024</t>
  </si>
  <si>
    <t xml:space="preserve">Sul </t>
  </si>
  <si>
    <t xml:space="preserve"> IdeaPad 3 </t>
  </si>
  <si>
    <t xml:space="preserve">11/07/2023</t>
  </si>
  <si>
    <t xml:space="preserve">  sudeste</t>
  </si>
  <si>
    <t xml:space="preserve">  fones de ouvido </t>
  </si>
  <si>
    <t xml:space="preserve"> Loja Física</t>
  </si>
  <si>
    <t xml:space="preserve"> Norte </t>
  </si>
  <si>
    <t xml:space="preserve">Nicolas  Barros</t>
  </si>
  <si>
    <t xml:space="preserve">25/08/2024</t>
  </si>
  <si>
    <t xml:space="preserve">  norte</t>
  </si>
  <si>
    <t xml:space="preserve">fones de ouvido</t>
  </si>
  <si>
    <t xml:space="preserve">  Galaxy Buds FE </t>
  </si>
  <si>
    <t xml:space="preserve">07/11/2023</t>
  </si>
  <si>
    <t xml:space="preserve">  NOTEBOOKS </t>
  </si>
  <si>
    <t xml:space="preserve">  Inspiron 15  </t>
  </si>
  <si>
    <t xml:space="preserve">  Karina  Dias </t>
  </si>
  <si>
    <t xml:space="preserve">04/04/2023</t>
  </si>
  <si>
    <t xml:space="preserve">smartphones</t>
  </si>
  <si>
    <t xml:space="preserve"> Isabela Martins  </t>
  </si>
  <si>
    <t xml:space="preserve">30/09/2023</t>
  </si>
  <si>
    <t xml:space="preserve">sudeste  </t>
  </si>
  <si>
    <t xml:space="preserve">  Película Vidro</t>
  </si>
  <si>
    <t xml:space="preserve"> Sabrina Castro</t>
  </si>
  <si>
    <t xml:space="preserve">17/08/2023</t>
  </si>
  <si>
    <t xml:space="preserve"> Capinha Silicone </t>
  </si>
  <si>
    <t xml:space="preserve"> Ana Silva  </t>
  </si>
  <si>
    <t xml:space="preserve">22/11/2023</t>
  </si>
  <si>
    <t xml:space="preserve">Ana  Silva  </t>
  </si>
  <si>
    <t xml:space="preserve">16/06/2024</t>
  </si>
  <si>
    <t xml:space="preserve">  SUL </t>
  </si>
  <si>
    <t xml:space="preserve"> Ana Silva </t>
  </si>
  <si>
    <t xml:space="preserve">20/10/2024</t>
  </si>
  <si>
    <t xml:space="preserve"> nordeste </t>
  </si>
  <si>
    <t xml:space="preserve"> Tablets </t>
  </si>
  <si>
    <t xml:space="preserve">Galaxy Tab A8 </t>
  </si>
  <si>
    <t xml:space="preserve">Gabriela Alves </t>
  </si>
  <si>
    <t xml:space="preserve">15/08/2023</t>
  </si>
  <si>
    <t xml:space="preserve">  NORTE  </t>
  </si>
  <si>
    <t xml:space="preserve">  Isabela Martins</t>
  </si>
  <si>
    <t xml:space="preserve">29/08/2024</t>
  </si>
  <si>
    <t xml:space="preserve"> SUDESTE </t>
  </si>
  <si>
    <t xml:space="preserve">  JBL Tune 510BT</t>
  </si>
  <si>
    <t xml:space="preserve">Bruno Costa </t>
  </si>
  <si>
    <t xml:space="preserve">norte  </t>
  </si>
  <si>
    <t xml:space="preserve"> Galaxy S23</t>
  </si>
  <si>
    <t xml:space="preserve">  loja física</t>
  </si>
  <si>
    <t xml:space="preserve"> Gabriela Alves</t>
  </si>
  <si>
    <t xml:space="preserve">21/02/2024</t>
  </si>
  <si>
    <t xml:space="preserve">Norte </t>
  </si>
  <si>
    <t xml:space="preserve"> Vanessa Cardoso </t>
  </si>
  <si>
    <t xml:space="preserve">18/03/2024</t>
  </si>
  <si>
    <t xml:space="preserve">Vivobook 15 </t>
  </si>
  <si>
    <t xml:space="preserve">Fábio Santos </t>
  </si>
  <si>
    <t xml:space="preserve">17/09/2024</t>
  </si>
  <si>
    <t xml:space="preserve"> iPhone 13 </t>
  </si>
  <si>
    <t xml:space="preserve">  Rafael Teixeira</t>
  </si>
  <si>
    <t xml:space="preserve">04/12/2023</t>
  </si>
  <si>
    <t xml:space="preserve">  Notebooks  </t>
  </si>
  <si>
    <t xml:space="preserve"> Vivobook 15  </t>
  </si>
  <si>
    <t xml:space="preserve">Karina Dias </t>
  </si>
  <si>
    <t xml:space="preserve">Smartphones </t>
  </si>
  <si>
    <t xml:space="preserve">LOJA FÍSICA  </t>
  </si>
  <si>
    <t xml:space="preserve">Ana Silva  </t>
  </si>
  <si>
    <t xml:space="preserve">Patrícia  Gomes </t>
  </si>
  <si>
    <t xml:space="preserve">03/08/2023</t>
  </si>
  <si>
    <t xml:space="preserve">  SUL</t>
  </si>
  <si>
    <t xml:space="preserve"> Galaxy Buds FE </t>
  </si>
  <si>
    <t xml:space="preserve">  LOJA FÍSICA </t>
  </si>
  <si>
    <t xml:space="preserve">  Isabela Martins  </t>
  </si>
  <si>
    <t xml:space="preserve">02/10/2023</t>
  </si>
  <si>
    <t xml:space="preserve">  Acessórios </t>
  </si>
  <si>
    <t xml:space="preserve">Cabo USB-C</t>
  </si>
  <si>
    <t xml:space="preserve">Mariana Ribeiro </t>
  </si>
  <si>
    <t xml:space="preserve">06/04/2024</t>
  </si>
  <si>
    <t xml:space="preserve">  ONLINE</t>
  </si>
  <si>
    <t xml:space="preserve">  Patrícia Gomes</t>
  </si>
  <si>
    <t xml:space="preserve">05/05/2023</t>
  </si>
  <si>
    <t xml:space="preserve">  Karina Dias  </t>
  </si>
  <si>
    <t xml:space="preserve">20/08/2023</t>
  </si>
  <si>
    <t xml:space="preserve"> Sul  </t>
  </si>
  <si>
    <t xml:space="preserve"> Bruno Costa  </t>
  </si>
  <si>
    <t xml:space="preserve">31/03/2023</t>
  </si>
  <si>
    <t xml:space="preserve">  tablets  </t>
  </si>
  <si>
    <t xml:space="preserve">  Lenovo Tab M10  </t>
  </si>
  <si>
    <t xml:space="preserve"> Bruno Costa</t>
  </si>
  <si>
    <t xml:space="preserve">25/11/2023</t>
  </si>
  <si>
    <t xml:space="preserve"> João  Ferreira </t>
  </si>
  <si>
    <t xml:space="preserve">08/05/2023</t>
  </si>
  <si>
    <t xml:space="preserve">NORDESTE  </t>
  </si>
  <si>
    <t xml:space="preserve">TABLETS  </t>
  </si>
  <si>
    <t xml:space="preserve">12/10/2024</t>
  </si>
  <si>
    <t xml:space="preserve"> SMARTPHONES</t>
  </si>
  <si>
    <t xml:space="preserve"> Moto G84 </t>
  </si>
  <si>
    <t xml:space="preserve">14/10/2024</t>
  </si>
  <si>
    <t xml:space="preserve"> sul</t>
  </si>
  <si>
    <t xml:space="preserve">TABLETS</t>
  </si>
  <si>
    <t xml:space="preserve"> Lenovo Tab M10  </t>
  </si>
  <si>
    <t xml:space="preserve">30/03/2023</t>
  </si>
  <si>
    <t xml:space="preserve">sudeste </t>
  </si>
  <si>
    <t xml:space="preserve">  Fábio  Santos</t>
  </si>
  <si>
    <t xml:space="preserve">15/06/2023</t>
  </si>
  <si>
    <t xml:space="preserve"> Suporte Veicular  </t>
  </si>
  <si>
    <t xml:space="preserve">Lucas Oliveira </t>
  </si>
  <si>
    <t xml:space="preserve">23/01/2023</t>
  </si>
  <si>
    <t xml:space="preserve">  NORDESTE</t>
  </si>
  <si>
    <t xml:space="preserve">João Ferreira  </t>
  </si>
  <si>
    <t xml:space="preserve"> smartphones </t>
  </si>
  <si>
    <t xml:space="preserve">  Redmi Note 12</t>
  </si>
  <si>
    <t xml:space="preserve"> Elaine  Rocha</t>
  </si>
  <si>
    <t xml:space="preserve">30/10/2024</t>
  </si>
  <si>
    <t xml:space="preserve">  Capinha Silicone </t>
  </si>
  <si>
    <t xml:space="preserve"> Fábio Santos  </t>
  </si>
  <si>
    <t xml:space="preserve">28/12/2024</t>
  </si>
  <si>
    <t xml:space="preserve">Elaine  Rocha  </t>
  </si>
  <si>
    <t xml:space="preserve">11/02/2024</t>
  </si>
  <si>
    <t xml:space="preserve"> Galaxy S23 </t>
  </si>
  <si>
    <t xml:space="preserve"> Gabriela  Alves  </t>
  </si>
  <si>
    <t xml:space="preserve">sul </t>
  </si>
  <si>
    <t xml:space="preserve">Fones de Ouvido  </t>
  </si>
  <si>
    <t xml:space="preserve"> AirPods 2 </t>
  </si>
  <si>
    <t xml:space="preserve"> Isabela  Martins  </t>
  </si>
  <si>
    <t xml:space="preserve">28/04/2024</t>
  </si>
  <si>
    <t xml:space="preserve">  Fone Bluetooth XPTO  </t>
  </si>
  <si>
    <t xml:space="preserve"> Ana  Silva  </t>
  </si>
  <si>
    <t xml:space="preserve">02/03/2023</t>
  </si>
  <si>
    <t xml:space="preserve">Otávio Nunes </t>
  </si>
  <si>
    <t xml:space="preserve">  Smartphones</t>
  </si>
  <si>
    <t xml:space="preserve">Moto G84</t>
  </si>
  <si>
    <t xml:space="preserve">Patrícia  Gomes  </t>
  </si>
  <si>
    <t xml:space="preserve">17/02/2024</t>
  </si>
  <si>
    <t xml:space="preserve">  ACESSÓRIOS  </t>
  </si>
  <si>
    <t xml:space="preserve"> Carregador Turbo</t>
  </si>
  <si>
    <t xml:space="preserve">07/11/2024</t>
  </si>
  <si>
    <t xml:space="preserve"> CENTRO-OESTE  </t>
  </si>
  <si>
    <t xml:space="preserve"> iPad 9ª Ger</t>
  </si>
  <si>
    <t xml:space="preserve">Carla  Souza </t>
  </si>
  <si>
    <t xml:space="preserve">29/03/2023</t>
  </si>
  <si>
    <t xml:space="preserve"> Galaxy Buds FE</t>
  </si>
  <si>
    <t xml:space="preserve"> Bruno Costa </t>
  </si>
  <si>
    <t xml:space="preserve">18/03/2023</t>
  </si>
  <si>
    <t xml:space="preserve">16/01/2024</t>
  </si>
  <si>
    <t xml:space="preserve">Diego Lima</t>
  </si>
  <si>
    <t xml:space="preserve">16/01/2023</t>
  </si>
  <si>
    <t xml:space="preserve">Fones de Ouvido</t>
  </si>
  <si>
    <t xml:space="preserve">Hugo Pereira </t>
  </si>
  <si>
    <t xml:space="preserve">23/04/2023</t>
  </si>
  <si>
    <t xml:space="preserve"> iPhone 13  </t>
  </si>
  <si>
    <t xml:space="preserve"> Fábio Santos</t>
  </si>
  <si>
    <t xml:space="preserve">27/03/2023</t>
  </si>
  <si>
    <t xml:space="preserve">Carla  Souza  </t>
  </si>
  <si>
    <t xml:space="preserve">26/03/2023</t>
  </si>
  <si>
    <t xml:space="preserve">  Galaxy Buds FE</t>
  </si>
  <si>
    <t xml:space="preserve"> Hugo Pereira</t>
  </si>
  <si>
    <t xml:space="preserve">16/04/2023</t>
  </si>
  <si>
    <t xml:space="preserve"> Karina  Dias</t>
  </si>
  <si>
    <t xml:space="preserve">09/03/2024</t>
  </si>
  <si>
    <t xml:space="preserve">smartphones  </t>
  </si>
  <si>
    <t xml:space="preserve">Galaxy S23 </t>
  </si>
  <si>
    <t xml:space="preserve"> Thiago Moreira  </t>
  </si>
  <si>
    <t xml:space="preserve"> Fones de Ouvido</t>
  </si>
  <si>
    <t xml:space="preserve"> Fone Bluetooth XPTO  </t>
  </si>
  <si>
    <t xml:space="preserve">11/03/2024</t>
  </si>
  <si>
    <t xml:space="preserve">centro-oeste  </t>
  </si>
  <si>
    <t xml:space="preserve"> Redmi Note 12 </t>
  </si>
  <si>
    <t xml:space="preserve">online  </t>
  </si>
  <si>
    <t xml:space="preserve">Bruno  Costa</t>
  </si>
  <si>
    <t xml:space="preserve">27/06/2024</t>
  </si>
  <si>
    <t xml:space="preserve">  MacBook Air M1 </t>
  </si>
  <si>
    <t xml:space="preserve">Sabrina Castro</t>
  </si>
  <si>
    <t xml:space="preserve">29/11/2023</t>
  </si>
  <si>
    <t xml:space="preserve"> Redmi Note 12</t>
  </si>
  <si>
    <t xml:space="preserve">  Lucas  Oliveira  </t>
  </si>
  <si>
    <t xml:space="preserve">SUL  </t>
  </si>
  <si>
    <t xml:space="preserve"> acessórios  </t>
  </si>
  <si>
    <t xml:space="preserve">  Capinha Silicone  </t>
  </si>
  <si>
    <t xml:space="preserve">  Gabriela Alves</t>
  </si>
  <si>
    <t xml:space="preserve">Redmi Note 12  </t>
  </si>
  <si>
    <t xml:space="preserve">  Diego  Lima  </t>
  </si>
  <si>
    <t xml:space="preserve">  Norte </t>
  </si>
  <si>
    <t xml:space="preserve"> NOTEBOOKS  </t>
  </si>
  <si>
    <t xml:space="preserve"> IdeaPad 3  </t>
  </si>
  <si>
    <t xml:space="preserve"> Thiago  Moreira  </t>
  </si>
  <si>
    <t xml:space="preserve">05/01/2024</t>
  </si>
  <si>
    <t xml:space="preserve">  Elaine  Rocha  </t>
  </si>
  <si>
    <t xml:space="preserve">23/08/2024</t>
  </si>
  <si>
    <t xml:space="preserve"> Moto G84</t>
  </si>
  <si>
    <t xml:space="preserve">18/10/2023</t>
  </si>
  <si>
    <t xml:space="preserve"> TABLETS  </t>
  </si>
  <si>
    <t xml:space="preserve">  Diego Lima</t>
  </si>
  <si>
    <t xml:space="preserve">30/12/2024</t>
  </si>
  <si>
    <t xml:space="preserve"> NORTE </t>
  </si>
  <si>
    <t xml:space="preserve">Redmi Note 12 </t>
  </si>
  <si>
    <t xml:space="preserve"> Karina  Dias </t>
  </si>
  <si>
    <t xml:space="preserve"> ACESSÓRIOS  </t>
  </si>
  <si>
    <t xml:space="preserve">Cabo USB-C  </t>
  </si>
  <si>
    <t xml:space="preserve">  Diego  Lima </t>
  </si>
  <si>
    <t xml:space="preserve">25/07/2024</t>
  </si>
  <si>
    <t xml:space="preserve"> Vanessa  Cardoso </t>
  </si>
  <si>
    <t xml:space="preserve">26/04/2023</t>
  </si>
  <si>
    <t xml:space="preserve">  sudeste  </t>
  </si>
  <si>
    <t xml:space="preserve"> Galaxy Tab A8 </t>
  </si>
  <si>
    <t xml:space="preserve">21/07/2024</t>
  </si>
  <si>
    <t xml:space="preserve">Fábio Santos</t>
  </si>
  <si>
    <t xml:space="preserve">13/12/2024</t>
  </si>
  <si>
    <t xml:space="preserve"> Carla Souza </t>
  </si>
  <si>
    <t xml:space="preserve">  Vanessa Cardoso </t>
  </si>
  <si>
    <t xml:space="preserve"> smartphones  </t>
  </si>
  <si>
    <t xml:space="preserve"> Karina  Dias  </t>
  </si>
  <si>
    <t xml:space="preserve">01/08/2023</t>
  </si>
  <si>
    <t xml:space="preserve">21/03/2023</t>
  </si>
  <si>
    <t xml:space="preserve">  Rafael  Teixeira  </t>
  </si>
  <si>
    <t xml:space="preserve">27/07/2023</t>
  </si>
  <si>
    <t xml:space="preserve"> Notebooks </t>
  </si>
  <si>
    <t xml:space="preserve">  ThinkPad E14</t>
  </si>
  <si>
    <t xml:space="preserve">  smartphones  </t>
  </si>
  <si>
    <t xml:space="preserve">Isabela  Martins</t>
  </si>
  <si>
    <t xml:space="preserve">19/12/2023</t>
  </si>
  <si>
    <t xml:space="preserve"> online</t>
  </si>
  <si>
    <t xml:space="preserve">  Vanessa  Cardoso </t>
  </si>
  <si>
    <t xml:space="preserve">27/01/2024</t>
  </si>
  <si>
    <t xml:space="preserve">07/12/2023</t>
  </si>
  <si>
    <t xml:space="preserve">Centro-Oeste  </t>
  </si>
  <si>
    <t xml:space="preserve">  notebooks</t>
  </si>
  <si>
    <t xml:space="preserve">ThinkPad E14 </t>
  </si>
  <si>
    <t xml:space="preserve">03/05/2024</t>
  </si>
  <si>
    <t xml:space="preserve">  centro-oeste</t>
  </si>
  <si>
    <t xml:space="preserve">02/07/2023</t>
  </si>
  <si>
    <t xml:space="preserve">notebooks  </t>
  </si>
  <si>
    <t xml:space="preserve">25/07/2023</t>
  </si>
  <si>
    <t xml:space="preserve"> nordeste</t>
  </si>
  <si>
    <t xml:space="preserve">14/04/2024</t>
  </si>
  <si>
    <t xml:space="preserve">28/07/2024</t>
  </si>
  <si>
    <t xml:space="preserve">Vanessa  Cardoso</t>
  </si>
  <si>
    <t xml:space="preserve">17/01/2023</t>
  </si>
  <si>
    <t xml:space="preserve">IdeaPad 3</t>
  </si>
  <si>
    <t xml:space="preserve">  ONLINE  </t>
  </si>
  <si>
    <t xml:space="preserve">07/07/2024</t>
  </si>
  <si>
    <t xml:space="preserve">  TABLETS </t>
  </si>
  <si>
    <t xml:space="preserve">Karina  Dias</t>
  </si>
  <si>
    <t xml:space="preserve">07/03/2024</t>
  </si>
  <si>
    <t xml:space="preserve">Centro-Oeste</t>
  </si>
  <si>
    <t xml:space="preserve">  Galaxy A54 </t>
  </si>
  <si>
    <t xml:space="preserve">  Centro-Oeste  </t>
  </si>
  <si>
    <t xml:space="preserve"> Rafael  Teixeira </t>
  </si>
  <si>
    <t xml:space="preserve">07/04/2024</t>
  </si>
  <si>
    <t xml:space="preserve">01/12/2023</t>
  </si>
  <si>
    <t xml:space="preserve">  nordeste</t>
  </si>
  <si>
    <t xml:space="preserve">  acessórios  </t>
  </si>
  <si>
    <t xml:space="preserve">  Ana Silva </t>
  </si>
  <si>
    <t xml:space="preserve">10/12/2024</t>
  </si>
  <si>
    <t xml:space="preserve">  TABLETS</t>
  </si>
  <si>
    <t xml:space="preserve">Lucas Oliveira  </t>
  </si>
  <si>
    <t xml:space="preserve">04/03/2024</t>
  </si>
  <si>
    <t xml:space="preserve">Acessórios</t>
  </si>
  <si>
    <t xml:space="preserve">  Película Vidro  </t>
  </si>
  <si>
    <t xml:space="preserve">  Thiago Moreira </t>
  </si>
  <si>
    <t xml:space="preserve">14/01/2023</t>
  </si>
  <si>
    <t xml:space="preserve"> Vanessa Cardoso</t>
  </si>
  <si>
    <t xml:space="preserve">18/12/2023</t>
  </si>
  <si>
    <t xml:space="preserve"> Mariana  Ribeiro</t>
  </si>
  <si>
    <t xml:space="preserve">29/07/2023</t>
  </si>
  <si>
    <t xml:space="preserve"> SUL </t>
  </si>
  <si>
    <t xml:space="preserve">28/04/2023</t>
  </si>
  <si>
    <t xml:space="preserve">  Lucas Oliveira  </t>
  </si>
  <si>
    <t xml:space="preserve">10/08/2024</t>
  </si>
  <si>
    <t xml:space="preserve"> NORDESTE</t>
  </si>
  <si>
    <t xml:space="preserve">  Hugo  Pereira</t>
  </si>
  <si>
    <t xml:space="preserve">05/05/2024</t>
  </si>
  <si>
    <t xml:space="preserve">  SUL  </t>
  </si>
  <si>
    <t xml:space="preserve">Mariana Ribeiro  </t>
  </si>
  <si>
    <t xml:space="preserve">08/02/2023</t>
  </si>
  <si>
    <t xml:space="preserve">Isabela Martins</t>
  </si>
  <si>
    <t xml:space="preserve">20/09/2024</t>
  </si>
  <si>
    <t xml:space="preserve">SUL </t>
  </si>
  <si>
    <t xml:space="preserve"> Gabriela  Alves</t>
  </si>
  <si>
    <t xml:space="preserve">25/09/2023</t>
  </si>
  <si>
    <t xml:space="preserve">  tablets</t>
  </si>
  <si>
    <t xml:space="preserve">centro-oeste </t>
  </si>
  <si>
    <t xml:space="preserve">NOTEBOOKS  </t>
  </si>
  <si>
    <t xml:space="preserve">Gabriela  Alves </t>
  </si>
  <si>
    <t xml:space="preserve">23/06/2024</t>
  </si>
  <si>
    <t xml:space="preserve">  acessórios</t>
  </si>
  <si>
    <t xml:space="preserve">  Isabela  Martins  </t>
  </si>
  <si>
    <t xml:space="preserve">09/10/2023</t>
  </si>
  <si>
    <t xml:space="preserve">12/09/2024</t>
  </si>
  <si>
    <t xml:space="preserve">Diego  Lima  </t>
  </si>
  <si>
    <t xml:space="preserve">21/08/2023</t>
  </si>
  <si>
    <t xml:space="preserve"> Elaine Rocha  </t>
  </si>
  <si>
    <t xml:space="preserve">12/11/2024</t>
  </si>
  <si>
    <t xml:space="preserve">  NORTE</t>
  </si>
  <si>
    <t xml:space="preserve">  Gabriela Alves </t>
  </si>
  <si>
    <t xml:space="preserve">06/12/2024</t>
  </si>
  <si>
    <t xml:space="preserve"> Lenovo Tab M10</t>
  </si>
  <si>
    <t xml:space="preserve">09/04/2023</t>
  </si>
  <si>
    <t xml:space="preserve">acessórios </t>
  </si>
  <si>
    <t xml:space="preserve">Cabo USB-C </t>
  </si>
  <si>
    <t xml:space="preserve">Otávio Nunes</t>
  </si>
  <si>
    <t xml:space="preserve">13/08/2024</t>
  </si>
  <si>
    <t xml:space="preserve">  nordeste  </t>
  </si>
  <si>
    <t xml:space="preserve"> Vanessa Cardoso  </t>
  </si>
  <si>
    <t xml:space="preserve">Fone Bluetooth XPTO </t>
  </si>
  <si>
    <t xml:space="preserve">30/04/2024</t>
  </si>
  <si>
    <t xml:space="preserve"> Capinha Silicone  </t>
  </si>
  <si>
    <t xml:space="preserve">26/10/2023</t>
  </si>
  <si>
    <t xml:space="preserve"> Inspiron 15</t>
  </si>
  <si>
    <t xml:space="preserve"> Patrícia  Gomes </t>
  </si>
  <si>
    <t xml:space="preserve">30/08/2024</t>
  </si>
  <si>
    <t xml:space="preserve"> Rafael  Teixeira</t>
  </si>
  <si>
    <t xml:space="preserve">25/03/2023</t>
  </si>
  <si>
    <t xml:space="preserve">  Galaxy A54  </t>
  </si>
  <si>
    <t xml:space="preserve">  Bruno Costa </t>
  </si>
  <si>
    <t xml:space="preserve">11/07/2024</t>
  </si>
  <si>
    <t xml:space="preserve">  Carla Souza </t>
  </si>
  <si>
    <t xml:space="preserve">Elaine Rocha</t>
  </si>
  <si>
    <t xml:space="preserve">13/03/2024</t>
  </si>
  <si>
    <t xml:space="preserve">  Cabo USB-C</t>
  </si>
  <si>
    <t xml:space="preserve"> smartphones</t>
  </si>
  <si>
    <t xml:space="preserve">20/03/2023</t>
  </si>
  <si>
    <t xml:space="preserve">sul</t>
  </si>
  <si>
    <t xml:space="preserve">  Capinha Silicone</t>
  </si>
  <si>
    <t xml:space="preserve">  Vanessa Cardoso  </t>
  </si>
  <si>
    <t xml:space="preserve"> NORTE</t>
  </si>
  <si>
    <t xml:space="preserve">Vanessa  Cardoso  </t>
  </si>
  <si>
    <t xml:space="preserve">16/02/2023</t>
  </si>
  <si>
    <t xml:space="preserve">13/05/2024</t>
  </si>
  <si>
    <t xml:space="preserve">  Elaine Rocha</t>
  </si>
  <si>
    <t xml:space="preserve">30/06/2023</t>
  </si>
  <si>
    <t xml:space="preserve">  Lucas Oliveira </t>
  </si>
  <si>
    <t xml:space="preserve">14/11/2023</t>
  </si>
  <si>
    <t xml:space="preserve">Carregador Turbo</t>
  </si>
  <si>
    <t xml:space="preserve">06/04/2023</t>
  </si>
  <si>
    <t xml:space="preserve">23/07/2024</t>
  </si>
  <si>
    <t xml:space="preserve">  Cabo USB-C </t>
  </si>
  <si>
    <t xml:space="preserve">  Thiago  Moreira  </t>
  </si>
  <si>
    <t xml:space="preserve">16/12/2023</t>
  </si>
  <si>
    <t xml:space="preserve">  Otávio Nunes </t>
  </si>
  <si>
    <t xml:space="preserve">20/06/2024</t>
  </si>
  <si>
    <t xml:space="preserve">Sudeste</t>
  </si>
  <si>
    <t xml:space="preserve">Thiago Moreira  </t>
  </si>
  <si>
    <t xml:space="preserve">21/04/2024</t>
  </si>
  <si>
    <t xml:space="preserve">Nordeste </t>
  </si>
  <si>
    <t xml:space="preserve">notebooks</t>
  </si>
  <si>
    <t xml:space="preserve"> Otávio  Nunes  </t>
  </si>
  <si>
    <t xml:space="preserve">23/11/2024</t>
  </si>
  <si>
    <t xml:space="preserve"> Thiago  Moreira</t>
  </si>
  <si>
    <t xml:space="preserve">31/10/2023</t>
  </si>
  <si>
    <t xml:space="preserve">  Fábio  Santos  </t>
  </si>
  <si>
    <t xml:space="preserve">08/03/2023</t>
  </si>
  <si>
    <t xml:space="preserve">Rafael  Teixeira </t>
  </si>
  <si>
    <t xml:space="preserve">07/10/2023</t>
  </si>
  <si>
    <t xml:space="preserve"> Gabriela Alves  </t>
  </si>
  <si>
    <t xml:space="preserve">22/09/2023</t>
  </si>
  <si>
    <t xml:space="preserve"> Sul </t>
  </si>
  <si>
    <t xml:space="preserve">sul  </t>
  </si>
  <si>
    <t xml:space="preserve">fones de ouvido  </t>
  </si>
  <si>
    <t xml:space="preserve"> Otávio Nunes</t>
  </si>
  <si>
    <t xml:space="preserve">30/11/2024</t>
  </si>
  <si>
    <t xml:space="preserve">10/12/2023</t>
  </si>
  <si>
    <t xml:space="preserve"> Fábio  Santos </t>
  </si>
  <si>
    <t xml:space="preserve">22/07/2024</t>
  </si>
  <si>
    <t xml:space="preserve"> Smartphones  </t>
  </si>
  <si>
    <t xml:space="preserve">  Moto G84</t>
  </si>
  <si>
    <t xml:space="preserve">Mariana Ribeiro</t>
  </si>
  <si>
    <t xml:space="preserve">28/05/2023</t>
  </si>
  <si>
    <t xml:space="preserve"> Thiago  Moreira </t>
  </si>
  <si>
    <t xml:space="preserve">08/04/2024</t>
  </si>
  <si>
    <t xml:space="preserve">  nordeste </t>
  </si>
  <si>
    <t xml:space="preserve">  notebooks  </t>
  </si>
  <si>
    <t xml:space="preserve">03/11/2024</t>
  </si>
  <si>
    <t xml:space="preserve">Ana  Silva </t>
  </si>
  <si>
    <t xml:space="preserve">23/01/2024</t>
  </si>
  <si>
    <t xml:space="preserve"> fones de ouvido</t>
  </si>
  <si>
    <t xml:space="preserve">Nicolas  Barros  </t>
  </si>
  <si>
    <t xml:space="preserve">10/05/2023</t>
  </si>
  <si>
    <t xml:space="preserve">  Tablets</t>
  </si>
  <si>
    <t xml:space="preserve"> Vanessa  Cardoso</t>
  </si>
  <si>
    <t xml:space="preserve">10/08/2023</t>
  </si>
  <si>
    <t xml:space="preserve">FONES DE OUVIDO  </t>
  </si>
  <si>
    <t xml:space="preserve"> Karina Dias </t>
  </si>
  <si>
    <t xml:space="preserve">Gabriela Alves  </t>
  </si>
  <si>
    <t xml:space="preserve">19/07/2024</t>
  </si>
  <si>
    <t xml:space="preserve"> Hugo  Pereira </t>
  </si>
  <si>
    <t xml:space="preserve">23/05/2023</t>
  </si>
  <si>
    <t xml:space="preserve">  Fone Bluetooth XPTO</t>
  </si>
  <si>
    <t xml:space="preserve">28/01/2023</t>
  </si>
  <si>
    <t xml:space="preserve">Tablets </t>
  </si>
  <si>
    <t xml:space="preserve">Bruno Costa</t>
  </si>
  <si>
    <t xml:space="preserve">12/03/2023</t>
  </si>
  <si>
    <t xml:space="preserve">ACESSÓRIOS</t>
  </si>
  <si>
    <t xml:space="preserve">Suporte Veicular </t>
  </si>
  <si>
    <t xml:space="preserve">14/01/2024</t>
  </si>
  <si>
    <t xml:space="preserve">18/04/2023</t>
  </si>
  <si>
    <t xml:space="preserve">  Gabriela  Alves</t>
  </si>
  <si>
    <t xml:space="preserve">10/11/2024</t>
  </si>
  <si>
    <t xml:space="preserve"> Acessórios</t>
  </si>
  <si>
    <t xml:space="preserve">  Gabriela  Alves </t>
  </si>
  <si>
    <t xml:space="preserve">18/01/2024</t>
  </si>
  <si>
    <t xml:space="preserve">  Otávio  Nunes </t>
  </si>
  <si>
    <t xml:space="preserve">26/07/2024</t>
  </si>
  <si>
    <t xml:space="preserve"> Galaxy A54 </t>
  </si>
  <si>
    <t xml:space="preserve">  Patrícia  Gomes</t>
  </si>
  <si>
    <t xml:space="preserve"> Carregador Turbo  </t>
  </si>
  <si>
    <t xml:space="preserve">31/01/2023</t>
  </si>
  <si>
    <t xml:space="preserve">Thiago  Moreira</t>
  </si>
  <si>
    <t xml:space="preserve">09/12/2023</t>
  </si>
  <si>
    <t xml:space="preserve">Moto G84  </t>
  </si>
  <si>
    <t xml:space="preserve">  Gabriela Alves  </t>
  </si>
  <si>
    <t xml:space="preserve">04/01/2024</t>
  </si>
  <si>
    <t xml:space="preserve">Tablets</t>
  </si>
  <si>
    <t xml:space="preserve">  Elaine Rocha </t>
  </si>
  <si>
    <t xml:space="preserve">25/10/2024</t>
  </si>
  <si>
    <t xml:space="preserve">Carla  Souza</t>
  </si>
  <si>
    <t xml:space="preserve">18/09/2024</t>
  </si>
  <si>
    <t xml:space="preserve">  Nordeste</t>
  </si>
  <si>
    <t xml:space="preserve">  Karina Dias </t>
  </si>
  <si>
    <t xml:space="preserve">09/06/2024</t>
  </si>
  <si>
    <t xml:space="preserve">07/08/2024</t>
  </si>
  <si>
    <t xml:space="preserve">Galaxy S23</t>
  </si>
  <si>
    <t xml:space="preserve">Bruno  Costa  </t>
  </si>
  <si>
    <t xml:space="preserve">06/06/2023</t>
  </si>
  <si>
    <t xml:space="preserve">  Acessórios</t>
  </si>
  <si>
    <t xml:space="preserve">26/04/2024</t>
  </si>
  <si>
    <t xml:space="preserve">  Mariana Ribeiro </t>
  </si>
  <si>
    <t xml:space="preserve">24/01/2024</t>
  </si>
  <si>
    <t xml:space="preserve">  Ana Silva</t>
  </si>
  <si>
    <t xml:space="preserve">  Isabela  Martins </t>
  </si>
  <si>
    <t xml:space="preserve">07/02/2023</t>
  </si>
  <si>
    <t xml:space="preserve">21/12/2024</t>
  </si>
  <si>
    <t xml:space="preserve">  NOTEBOOKS  </t>
  </si>
  <si>
    <t xml:space="preserve">  ThinkPad E14  </t>
  </si>
  <si>
    <t xml:space="preserve"> Lucas  Oliveira </t>
  </si>
  <si>
    <t xml:space="preserve"> FONES DE OUVIDO </t>
  </si>
  <si>
    <t xml:space="preserve">JBL Tune 510BT</t>
  </si>
  <si>
    <t xml:space="preserve">Notebooks  </t>
  </si>
  <si>
    <t xml:space="preserve"> MacBook Air M1</t>
  </si>
  <si>
    <t xml:space="preserve">23/12/2023</t>
  </si>
  <si>
    <t xml:space="preserve">Galaxy A54</t>
  </si>
  <si>
    <t xml:space="preserve">Thiago  Moreira  </t>
  </si>
  <si>
    <t xml:space="preserve">24/05/2023</t>
  </si>
  <si>
    <t xml:space="preserve">30/06/2024</t>
  </si>
  <si>
    <t xml:space="preserve">sudeste</t>
  </si>
  <si>
    <t xml:space="preserve">IdeaPad 3 </t>
  </si>
  <si>
    <t xml:space="preserve">  Lucas  Oliveira</t>
  </si>
  <si>
    <t xml:space="preserve">11/05/2023</t>
  </si>
  <si>
    <t xml:space="preserve">17/11/2023</t>
  </si>
  <si>
    <t xml:space="preserve">26/05/2024</t>
  </si>
  <si>
    <t xml:space="preserve">31/08/2023</t>
  </si>
  <si>
    <t xml:space="preserve">  SUDESTE</t>
  </si>
  <si>
    <t xml:space="preserve">IdeaPad 3  </t>
  </si>
  <si>
    <t xml:space="preserve">01/10/2023</t>
  </si>
  <si>
    <t xml:space="preserve">28/08/2024</t>
  </si>
  <si>
    <t xml:space="preserve">27/08/2024</t>
  </si>
  <si>
    <t xml:space="preserve">Nicolas Barros </t>
  </si>
  <si>
    <t xml:space="preserve">09/12/2024</t>
  </si>
  <si>
    <t xml:space="preserve">JBL Tune 510BT </t>
  </si>
  <si>
    <t xml:space="preserve">13/06/2024</t>
  </si>
  <si>
    <t xml:space="preserve"> centro-oeste</t>
  </si>
  <si>
    <t xml:space="preserve">Redmi Note 12</t>
  </si>
  <si>
    <t xml:space="preserve">Nicolas  Barros </t>
  </si>
  <si>
    <t xml:space="preserve">12/12/2023</t>
  </si>
  <si>
    <t xml:space="preserve">Rafael Teixeira  </t>
  </si>
  <si>
    <t xml:space="preserve">17/04/2023</t>
  </si>
  <si>
    <t xml:space="preserve">  norte  </t>
  </si>
  <si>
    <t xml:space="preserve"> Nicolas  Barros  </t>
  </si>
  <si>
    <t xml:space="preserve"> Nordeste</t>
  </si>
  <si>
    <t xml:space="preserve">Fones de Ouvido </t>
  </si>
  <si>
    <t xml:space="preserve">  Rafael  Teixeira</t>
  </si>
  <si>
    <t xml:space="preserve">NOTEBOOKS</t>
  </si>
  <si>
    <t xml:space="preserve">MacBook Air M1 </t>
  </si>
  <si>
    <t xml:space="preserve">12/08/2023</t>
  </si>
  <si>
    <t xml:space="preserve">  iPad 9ª Ger</t>
  </si>
  <si>
    <t xml:space="preserve">25/12/2024</t>
  </si>
  <si>
    <t xml:space="preserve">Isabela  Martins  </t>
  </si>
  <si>
    <t xml:space="preserve">18/06/2023</t>
  </si>
  <si>
    <t xml:space="preserve"> Nordeste </t>
  </si>
  <si>
    <t xml:space="preserve">10/02/2023</t>
  </si>
  <si>
    <t xml:space="preserve"> SMARTPHONES  </t>
  </si>
  <si>
    <t xml:space="preserve">27/07/2024</t>
  </si>
  <si>
    <t xml:space="preserve">Mariana  Ribeiro  </t>
  </si>
  <si>
    <t xml:space="preserve">26/11/2024</t>
  </si>
  <si>
    <t xml:space="preserve">Sabrina Castro </t>
  </si>
  <si>
    <t xml:space="preserve">11/04/2024</t>
  </si>
  <si>
    <t xml:space="preserve">Inspiron 15  </t>
  </si>
  <si>
    <t xml:space="preserve">Isabela Martins  </t>
  </si>
  <si>
    <t xml:space="preserve">29/04/2024</t>
  </si>
  <si>
    <t xml:space="preserve"> Mariana Ribeiro</t>
  </si>
  <si>
    <t xml:space="preserve">19/01/2023</t>
  </si>
  <si>
    <t xml:space="preserve">Galaxy A54  </t>
  </si>
  <si>
    <t xml:space="preserve">09/05/2024</t>
  </si>
  <si>
    <t xml:space="preserve"> NORDESTE </t>
  </si>
  <si>
    <t xml:space="preserve"> Diego  Lima  </t>
  </si>
  <si>
    <t xml:space="preserve">26/05/2023</t>
  </si>
  <si>
    <t xml:space="preserve">Norte</t>
  </si>
  <si>
    <t xml:space="preserve">11/03/2023</t>
  </si>
  <si>
    <t xml:space="preserve">18/02/2023</t>
  </si>
  <si>
    <t xml:space="preserve">11/01/2024</t>
  </si>
  <si>
    <t xml:space="preserve">  Lucas Oliveira</t>
  </si>
  <si>
    <t xml:space="preserve">02/09/2024</t>
  </si>
  <si>
    <t xml:space="preserve">ThinkPad E14</t>
  </si>
  <si>
    <t xml:space="preserve"> Lucas Oliveira </t>
  </si>
  <si>
    <t xml:space="preserve">25/09/2024</t>
  </si>
  <si>
    <t xml:space="preserve"> Patrícia Gomes </t>
  </si>
  <si>
    <t xml:space="preserve">02/04/2024</t>
  </si>
  <si>
    <t xml:space="preserve">07/09/2024</t>
  </si>
  <si>
    <t xml:space="preserve">  Ana Silva  </t>
  </si>
  <si>
    <t xml:space="preserve">02/11/2023</t>
  </si>
  <si>
    <t xml:space="preserve"> NOTEBOOKS </t>
  </si>
  <si>
    <t xml:space="preserve">  Vivobook 15</t>
  </si>
  <si>
    <t xml:space="preserve">14/03/2023</t>
  </si>
  <si>
    <t xml:space="preserve">  Thiago Moreira</t>
  </si>
  <si>
    <t xml:space="preserve">15/11/2023</t>
  </si>
  <si>
    <t xml:space="preserve">  Thiago  Moreira</t>
  </si>
  <si>
    <t xml:space="preserve">24/10/2023</t>
  </si>
  <si>
    <t xml:space="preserve">Smartphones</t>
  </si>
  <si>
    <t xml:space="preserve">  Rafael  Teixeira </t>
  </si>
  <si>
    <t xml:space="preserve">Notebooks</t>
  </si>
  <si>
    <t xml:space="preserve">Lucas  Oliveira</t>
  </si>
  <si>
    <t xml:space="preserve">22/03/2023</t>
  </si>
  <si>
    <t xml:space="preserve">11/06/2024</t>
  </si>
  <si>
    <t xml:space="preserve">Carregador Turbo </t>
  </si>
  <si>
    <t xml:space="preserve">Norte  </t>
  </si>
  <si>
    <t xml:space="preserve">25/12/2023</t>
  </si>
  <si>
    <t xml:space="preserve"> Fábio  Santos  </t>
  </si>
  <si>
    <t xml:space="preserve">Carla Souza </t>
  </si>
  <si>
    <t xml:space="preserve">16/10/2024</t>
  </si>
  <si>
    <t xml:space="preserve">22/01/2023</t>
  </si>
  <si>
    <t xml:space="preserve">  JBL Tune 510BT  </t>
  </si>
  <si>
    <t xml:space="preserve"> Acessórios  </t>
  </si>
  <si>
    <t xml:space="preserve"> Carla Souza  </t>
  </si>
  <si>
    <t xml:space="preserve">29/05/2024</t>
  </si>
  <si>
    <t xml:space="preserve">  Suporte Veicular</t>
  </si>
  <si>
    <t xml:space="preserve">09/07/2024</t>
  </si>
  <si>
    <t xml:space="preserve"> loja física </t>
  </si>
  <si>
    <t xml:space="preserve">Karina  Dias  </t>
  </si>
  <si>
    <t xml:space="preserve"> Isabela Martins</t>
  </si>
  <si>
    <t xml:space="preserve">07/12/2024</t>
  </si>
  <si>
    <t xml:space="preserve"> Vivobook 15</t>
  </si>
  <si>
    <t xml:space="preserve">25/05/2023</t>
  </si>
  <si>
    <t xml:space="preserve">12/07/2024</t>
  </si>
  <si>
    <t xml:space="preserve"> Rafael Teixeira </t>
  </si>
  <si>
    <t xml:space="preserve">01/11/2023</t>
  </si>
  <si>
    <t xml:space="preserve">13/02/2024</t>
  </si>
  <si>
    <t xml:space="preserve"> Película Vidro  </t>
  </si>
  <si>
    <t xml:space="preserve">16/03/2023</t>
  </si>
  <si>
    <t xml:space="preserve">Galaxy Tab A8  </t>
  </si>
  <si>
    <t xml:space="preserve">Vanessa Cardoso  </t>
  </si>
  <si>
    <t xml:space="preserve">11/01/2023</t>
  </si>
  <si>
    <t xml:space="preserve">02/03/2024</t>
  </si>
  <si>
    <t xml:space="preserve">norte </t>
  </si>
  <si>
    <t xml:space="preserve">29/06/2024</t>
  </si>
  <si>
    <t xml:space="preserve">21/05/2024</t>
  </si>
  <si>
    <t xml:space="preserve">28/03/2023</t>
  </si>
  <si>
    <t xml:space="preserve">26/08/2023</t>
  </si>
  <si>
    <t xml:space="preserve">Acessórios </t>
  </si>
  <si>
    <t xml:space="preserve">26/01/2024</t>
  </si>
  <si>
    <t xml:space="preserve">19/11/2023</t>
  </si>
  <si>
    <t xml:space="preserve">  AirPods 2</t>
  </si>
  <si>
    <t xml:space="preserve">Vivobook 15</t>
  </si>
  <si>
    <t xml:space="preserve"> Carla  Souza</t>
  </si>
  <si>
    <t xml:space="preserve"> Fone Bluetooth XPTO </t>
  </si>
  <si>
    <t xml:space="preserve">05/10/2023</t>
  </si>
  <si>
    <t xml:space="preserve">Sabrina Castro  </t>
  </si>
  <si>
    <t xml:space="preserve">04/08/2024</t>
  </si>
  <si>
    <t xml:space="preserve">Ana Silva </t>
  </si>
  <si>
    <t xml:space="preserve">17/01/2024</t>
  </si>
  <si>
    <t xml:space="preserve">  Nicolas Barros </t>
  </si>
  <si>
    <t xml:space="preserve">17/06/2023</t>
  </si>
  <si>
    <t xml:space="preserve">Fábio Santos  </t>
  </si>
  <si>
    <t xml:space="preserve">20/02/2024</t>
  </si>
  <si>
    <t xml:space="preserve">18/07/2023</t>
  </si>
  <si>
    <t xml:space="preserve"> Patrícia Gomes</t>
  </si>
  <si>
    <t xml:space="preserve">09/01/2023</t>
  </si>
  <si>
    <t xml:space="preserve"> ThinkPad E14  </t>
  </si>
  <si>
    <t xml:space="preserve">  Isabela Martins </t>
  </si>
  <si>
    <t xml:space="preserve">Centro-Oeste </t>
  </si>
  <si>
    <t xml:space="preserve">Galaxy A54 </t>
  </si>
  <si>
    <t xml:space="preserve">15/11/2024</t>
  </si>
  <si>
    <t xml:space="preserve"> ACESSÓRIOS </t>
  </si>
  <si>
    <t xml:space="preserve">  Sabrina Castro</t>
  </si>
  <si>
    <t xml:space="preserve">16/03/2024</t>
  </si>
  <si>
    <t xml:space="preserve"> AirPods 2</t>
  </si>
  <si>
    <t xml:space="preserve"> Bruno  Costa </t>
  </si>
  <si>
    <t xml:space="preserve">08/11/2024</t>
  </si>
  <si>
    <t xml:space="preserve">20/11/2023</t>
  </si>
  <si>
    <t xml:space="preserve">  Mariana  Ribeiro  </t>
  </si>
  <si>
    <t xml:space="preserve">15/10/2023</t>
  </si>
  <si>
    <t xml:space="preserve">Vanessa  Cardoso </t>
  </si>
  <si>
    <t xml:space="preserve">03/10/2024</t>
  </si>
  <si>
    <t xml:space="preserve">02/12/2023</t>
  </si>
  <si>
    <t xml:space="preserve">  CENTRO-OESTE </t>
  </si>
  <si>
    <t xml:space="preserve">06/01/2023</t>
  </si>
  <si>
    <t xml:space="preserve">Suporte Veicular  </t>
  </si>
  <si>
    <t xml:space="preserve">01/04/2023</t>
  </si>
  <si>
    <t xml:space="preserve"> Fábio  Santos</t>
  </si>
  <si>
    <t xml:space="preserve">13/10/2024</t>
  </si>
  <si>
    <t xml:space="preserve">Película Vidro  </t>
  </si>
  <si>
    <t xml:space="preserve">07/03/2023</t>
  </si>
  <si>
    <t xml:space="preserve"> Gabriela  Alves </t>
  </si>
  <si>
    <t xml:space="preserve">22/12/2023</t>
  </si>
  <si>
    <t xml:space="preserve"> Elaine Rocha </t>
  </si>
  <si>
    <t xml:space="preserve">26/10/2024</t>
  </si>
  <si>
    <t xml:space="preserve">NORTE </t>
  </si>
  <si>
    <t xml:space="preserve">  FONES DE OUVIDO </t>
  </si>
  <si>
    <t xml:space="preserve">Rafael Teixeira</t>
  </si>
  <si>
    <t xml:space="preserve"> TABLETS </t>
  </si>
  <si>
    <t xml:space="preserve">26/08/2024</t>
  </si>
  <si>
    <t xml:space="preserve">  Galaxy S23  </t>
  </si>
  <si>
    <t xml:space="preserve">  Karina Dias</t>
  </si>
  <si>
    <t xml:space="preserve">12/02/2023</t>
  </si>
  <si>
    <t xml:space="preserve">Vanessa Cardoso</t>
  </si>
  <si>
    <t xml:space="preserve">25/05/2024</t>
  </si>
  <si>
    <t xml:space="preserve">12/11/2023</t>
  </si>
  <si>
    <t xml:space="preserve">Karina Dias</t>
  </si>
  <si>
    <t xml:space="preserve">03/08/2024</t>
  </si>
  <si>
    <t xml:space="preserve"> Película Vidro </t>
  </si>
  <si>
    <t xml:space="preserve">17/10/2024</t>
  </si>
  <si>
    <t xml:space="preserve">18/07/2024</t>
  </si>
  <si>
    <t xml:space="preserve">04/07/2023</t>
  </si>
  <si>
    <t xml:space="preserve">  Bruno  Costa</t>
  </si>
  <si>
    <t xml:space="preserve">11/09/2024</t>
  </si>
  <si>
    <t xml:space="preserve">Película Vidro </t>
  </si>
  <si>
    <t xml:space="preserve">19/08/2024</t>
  </si>
  <si>
    <t xml:space="preserve">Gabriela Alves</t>
  </si>
  <si>
    <t xml:space="preserve">08/08/2023</t>
  </si>
  <si>
    <t xml:space="preserve">15/07/2024</t>
  </si>
  <si>
    <t xml:space="preserve"> Otávio  Nunes</t>
  </si>
  <si>
    <t xml:space="preserve">05/04/2024</t>
  </si>
  <si>
    <t xml:space="preserve"> ACESSÓRIOS</t>
  </si>
  <si>
    <t xml:space="preserve">23/09/2023</t>
  </si>
  <si>
    <t xml:space="preserve">06/08/2024</t>
  </si>
  <si>
    <t xml:space="preserve">Karina  Dias </t>
  </si>
  <si>
    <t xml:space="preserve">05/03/2023</t>
  </si>
  <si>
    <t xml:space="preserve">  Nicolas Barros  </t>
  </si>
  <si>
    <t xml:space="preserve">16/09/2023</t>
  </si>
  <si>
    <t xml:space="preserve"> Otávio Nunes </t>
  </si>
  <si>
    <t xml:space="preserve">28/11/2024</t>
  </si>
  <si>
    <t xml:space="preserve"> Lucas Oliveira  </t>
  </si>
  <si>
    <t xml:space="preserve">19/08/2023</t>
  </si>
  <si>
    <t xml:space="preserve"> MacBook Air M1  </t>
  </si>
  <si>
    <t xml:space="preserve">29/10/2023</t>
  </si>
  <si>
    <t xml:space="preserve">14/09/2024</t>
  </si>
  <si>
    <t xml:space="preserve">15/12/2023</t>
  </si>
  <si>
    <t xml:space="preserve">Thiago Moreira </t>
  </si>
  <si>
    <t xml:space="preserve">11/09/2023</t>
  </si>
  <si>
    <t xml:space="preserve">Bruno  Costa </t>
  </si>
  <si>
    <t xml:space="preserve">25/03/2024</t>
  </si>
  <si>
    <t xml:space="preserve">26/09/2023</t>
  </si>
  <si>
    <t xml:space="preserve">13/09/2024</t>
  </si>
  <si>
    <t xml:space="preserve">Dados propositalmente sujos: cabecalhos inconsistentes, espacos extras, caixa de texto irregular, 14 duplicatas, 26 custos ausentes e 10 quantidades invalidas.</t>
  </si>
  <si>
    <t xml:space="preserve">Importação e Tratamento no Power Query</t>
  </si>
  <si>
    <t xml:space="preserve">Dados &gt; Obter Dados &gt; De Tabela/Intervalo (fonte: tblBruta)  →  Editor do Power Query</t>
  </si>
  <si>
    <t xml:space="preserve">Etapa</t>
  </si>
  <si>
    <t xml:space="preserve">O que faz</t>
  </si>
  <si>
    <t xml:space="preserve">1. Origem</t>
  </si>
  <si>
    <t xml:space="preserve">Dados &gt; Obter Dados &gt; De Tabela/Intervalo, selecionando a tabela tblBruta.</t>
  </si>
  <si>
    <t xml:space="preserve">2. Renomear Colunas</t>
  </si>
  <si>
    <t xml:space="preserve">Padroniza os nomes: id_venda-&gt;ID_Venda, DATA_VENDA-&gt;Data, " regiao"-&gt;Regiao, "categoria "-&gt;Categoria, "CANAL "-&gt;Canal, segmento-&gt;Segmento_Cliente, "Cliente "-&gt;Cliente, QTD-&gt;Quantidade, preco_unitario-&gt;Preco_Unitario, custo_unitario-&gt;Custo_Unitario.</t>
  </si>
  <si>
    <t xml:space="preserve">3. Remover Colunas</t>
  </si>
  <si>
    <t xml:space="preserve">Remove a coluna Observacao (não utilizada na análise).</t>
  </si>
  <si>
    <t xml:space="preserve">4. Limpar e Formatar Texto</t>
  </si>
  <si>
    <t xml:space="preserve">Text.Trim + Text.Clean + Text.Proper em Regiao, Categoria, Canal, Cliente e Produto — remove espaços duplos/laterais e padroniza a capitalização.</t>
  </si>
  <si>
    <t xml:space="preserve">5. Alterar Tipo</t>
  </si>
  <si>
    <t xml:space="preserve">Data -&gt; Data; Quantidade -&gt; Número Inteiro; Preco_Unitario e Custo_Unitario -&gt; Número Decimal.</t>
  </si>
  <si>
    <t xml:space="preserve">6. Remover Duplicatas</t>
  </si>
  <si>
    <t xml:space="preserve">Table.Distinct remove as 14 linhas 100% repetidas geradas pelo reenvio do sistema.</t>
  </si>
  <si>
    <t xml:space="preserve">7. Filtrar Linhas</t>
  </si>
  <si>
    <t xml:space="preserve">Mantém apenas Quantidade &gt; 0, eliminando os 10 registros com erro de digitação no PDV (0 ou negativos).</t>
  </si>
  <si>
    <t xml:space="preserve">8. Agrupar por Categoria</t>
  </si>
  <si>
    <t xml:space="preserve">Table.Group calcula a razão média Custo_Unitario / Preco_Unitario por categoria, usando somente linhas com custo preenchido.</t>
  </si>
  <si>
    <t xml:space="preserve">9. Mesclar Consultas (Merge)</t>
  </si>
  <si>
    <t xml:space="preserve">Junta a razão média de volta à base principal pela chave Categoria (Junção Externa Esquerda).</t>
  </si>
  <si>
    <t xml:space="preserve">10. Preencher Valores Ausentes</t>
  </si>
  <si>
    <t xml:space="preserve">Substitui os 26 custos nulos por Preco_Unitario x Razão_Média_da_Categoria, e remove a coluna auxiliar.</t>
  </si>
  <si>
    <t xml:space="preserve">11. Colunas Personalizadas</t>
  </si>
  <si>
    <t xml:space="preserve">Adiciona Receita (Qtd x Preço), Custo_Total (Qtd x Custo), Lucro (Receita - Custo_Total) e Margem_% (Lucro/Receita).</t>
  </si>
  <si>
    <t xml:space="preserve">12. Coluna Condicional</t>
  </si>
  <si>
    <t xml:space="preserve">Cria Faixa_Receita: 'Alta' se Receita&gt;=3000, 'Média' se &gt;=1000, senão 'Baixa'.</t>
  </si>
  <si>
    <t xml:space="preserve">13. Colunas de Data</t>
  </si>
  <si>
    <t xml:space="preserve">Extrai Ano e Mês a partir de Data (Date.Year / Date.Month) para permitir análises temporais.</t>
  </si>
  <si>
    <t xml:space="preserve">14. Ordenar e Carregar</t>
  </si>
  <si>
    <t xml:space="preserve">Ordena por Data crescente e usa Fechar e Carregar Como Tabela na planilha Base_Tratada.</t>
  </si>
  <si>
    <t xml:space="preserve">Código M completo (Editor Avançado)</t>
  </si>
  <si>
    <t xml:space="preserve">let
    Origem = Excel.CurrentWorkbook(){[Name="tblBruta"]}[Content],
    ColunasRenomeadas = Table.RenameColumns(Origem,{{"id_venda","ID_Venda"},{"DATA_VENDA","Data"},
        {" regiao","Regiao"},{"categoria ","Categoria"},{"CANAL ","Canal"},{"segmento","Segmento_Cliente"},
        {"Cliente ","Cliente"},{"QTD","Quantidade"},{"preco_unitario","Preco_Unitario"},{"custo_unitario","Custo_Unitario"}}),
    ColunaRemovida = Table.RemoveColumns(ColunasRenomeadas,{"Observacao"}),
    TextoLimpo = Table.TransformColumns(ColunaRemovida,{
        {"Regiao", each Text.Proper(Text.Trim(Text.Clean(_))), type text},
        {"Categoria", each Text.Proper(Text.Trim(Text.Clean(_))), type text},
        {"Canal", each Text.Proper(Text.Trim(Text.Clean(_))), type text},
        {"Cliente", each Text.Proper(Text.Trim(Text.Clean(_))), type text},
        {"Produto", each Text.Trim(Text.Clean(_)), type text}}),
    TiposCorrigidos = Table.TransformColumnTypes(TextoLimpo,{{"Data", type date},
        {"Quantidade", Int64.Type}, {"Preco_Unitario", type number}, {"Custo_Unitario", type number}}),
    SemDuplicatas = Table.Distinct(TiposCorrigidos),
    LinhasFiltradas = Table.SelectRows(SemDuplicatas, each [Quantidade] &gt; 0),
    MediaPorCategoria = Table.Group(
        Table.SelectRows(LinhasFiltradas, each [Custo_Unitario] &lt;&gt; null), {"Categoria"},
        {{"Razao_Media", each List.Average(List.Transform(_, (r) =&gt; r[Custo_Unitario] / r[Preco_Unitario])), type number}}),
    BaseComRazao = Table.NestedJoin(LinhasFiltradas, {"Categoria"}, MediaPorCategoria, {"Categoria"}, "Ref", JoinKind.LeftOuter),
    BaseExpandida = Table.ExpandTableColumn(BaseComRazao, "Ref", {"Razao_Media"}),
    CustoPreenchido = Table.ReplaceValue(BaseExpandida, each [Custo_Unitario],
        each if [Custo_Unitario] = null then Number.Round([Preco_Unitario] * [Razao_Media], 2) else [Custo_Unitario],
        Replacer.ReplaceValue, {"Custo_Unitario"}),
    SemColunaAuxiliar = Table.RemoveColumns(CustoPreenchido, {"Razao_Media"}),
    ColReceita = Table.AddColumn(SemColunaAuxiliar, "Receita", each [Quantidade] * [Preco_Unitario], type number),
    ColCustoTotal = Table.AddColumn(ColReceita, "Custo_Total", each [Quantidade] * [Custo_Unitario], type number),
    ColLucro = Table.AddColumn(ColCustoTotal, "Lucro", each [Receita] - [Custo_Total], type number),
    ColMargem = Table.AddColumn(ColLucro, "Margem_%", each [Lucro] / [Receita], type number),
    ColFaixa = Table.AddColumn(ColMargem, "Faixa_Receita",
        each if [Receita] &gt;= 3000 then "Alta" else if [Receita] &gt;= 1000 then "Média" else "Baixa", type text),
    ColAno = Table.AddColumn(ColFaixa, "Ano", each Date.Year([Data]), Int64.Type),
    ColMes = Table.AddColumn(ColAno, "Mes", each Date.Month([Data]), Int64.Type),
    OrdenadoPorData = Table.Sort(ColMes,{{"Data", Order.Ascending}})
in
    OrdenadoPorData</t>
  </si>
  <si>
    <t xml:space="preserve">ID_Venda</t>
  </si>
  <si>
    <t xml:space="preserve">Data</t>
  </si>
  <si>
    <t xml:space="preserve">Ano</t>
  </si>
  <si>
    <t xml:space="preserve">Mes</t>
  </si>
  <si>
    <t xml:space="preserve">Regiao</t>
  </si>
  <si>
    <t xml:space="preserve">Categoria</t>
  </si>
  <si>
    <t xml:space="preserve">Canal</t>
  </si>
  <si>
    <t xml:space="preserve">Segmento_Cliente</t>
  </si>
  <si>
    <t xml:space="preserve">Cliente</t>
  </si>
  <si>
    <t xml:space="preserve">Quantidade</t>
  </si>
  <si>
    <t xml:space="preserve">Preco_Unitario</t>
  </si>
  <si>
    <t xml:space="preserve">Custo_Unitario</t>
  </si>
  <si>
    <t xml:space="preserve">Receita</t>
  </si>
  <si>
    <t xml:space="preserve">Custo_Total</t>
  </si>
  <si>
    <t xml:space="preserve">Lucro</t>
  </si>
  <si>
    <t xml:space="preserve">Margem_%</t>
  </si>
  <si>
    <t xml:space="preserve">Faixa_Receita</t>
  </si>
  <si>
    <t xml:space="preserve">Baixa</t>
  </si>
  <si>
    <t xml:space="preserve">Thinkpad E14</t>
  </si>
  <si>
    <t xml:space="preserve">Alta</t>
  </si>
  <si>
    <t xml:space="preserve">Ipad 9ª Ger</t>
  </si>
  <si>
    <t xml:space="preserve">Média</t>
  </si>
  <si>
    <t xml:space="preserve">Iphone 13</t>
  </si>
  <si>
    <t xml:space="preserve">Jbl Tune 510Bt</t>
  </si>
  <si>
    <t xml:space="preserve">Galaxy Buds Fe</t>
  </si>
  <si>
    <t xml:space="preserve">Fone Bluetooth Xpto</t>
  </si>
  <si>
    <t xml:space="preserve">Ideapad 3</t>
  </si>
  <si>
    <t xml:space="preserve">Nicolas Barros</t>
  </si>
  <si>
    <t xml:space="preserve">Lucas Oliveira</t>
  </si>
  <si>
    <t xml:space="preserve">Capinha Silicone</t>
  </si>
  <si>
    <t xml:space="preserve">João Ferreira</t>
  </si>
  <si>
    <t xml:space="preserve">Airpods 2</t>
  </si>
  <si>
    <t xml:space="preserve">Carla Souza</t>
  </si>
  <si>
    <t xml:space="preserve">Patrícia Gomes</t>
  </si>
  <si>
    <t xml:space="preserve">Macbook Air M1</t>
  </si>
  <si>
    <t xml:space="preserve">Cabo Usb-C</t>
  </si>
  <si>
    <t xml:space="preserve">Indicadores construídos a partir de Medidas</t>
  </si>
  <si>
    <t xml:space="preserve">Medida</t>
  </si>
  <si>
    <t xml:space="preserve">Valor</t>
  </si>
  <si>
    <t xml:space="preserve">Medida_ReceitaTotal</t>
  </si>
  <si>
    <t xml:space="preserve">Medida_LucroTotal</t>
  </si>
  <si>
    <t xml:space="preserve">Medida_MargemMedia</t>
  </si>
  <si>
    <t xml:space="preserve">Medida_TotalPedidos</t>
  </si>
  <si>
    <t xml:space="preserve">Medida_TicketMedio</t>
  </si>
  <si>
    <t xml:space="preserve">Medida_QtdTotal</t>
  </si>
  <si>
    <t xml:space="preserve">Consulta Avançada — Múltiplos Critérios</t>
  </si>
  <si>
    <t xml:space="preserve">Categoria:</t>
  </si>
  <si>
    <t xml:space="preserve">Canal:</t>
  </si>
  <si>
    <t xml:space="preserve">Ano:</t>
  </si>
  <si>
    <t xml:space="preserve">Resultado</t>
  </si>
  <si>
    <t xml:space="preserve">Receita (3 critérios)</t>
  </si>
  <si>
    <t xml:space="preserve">Lucro (3 critérios)</t>
  </si>
  <si>
    <t xml:space="preserve">Nº de Pedidos (3 critérios)</t>
  </si>
  <si>
    <t xml:space="preserve">Cliente da maior venda (2 critérios)</t>
  </si>
  <si>
    <t xml:space="preserve">Tabela Dinâmica Estruturada — Receita por Categoria x Canal</t>
  </si>
  <si>
    <t xml:space="preserve">Construída com SUMIFS de múltiplos critérios sobre Base_Tratada (atualiza automaticamente).</t>
  </si>
  <si>
    <t xml:space="preserve">Categoria \ Canal</t>
  </si>
  <si>
    <t xml:space="preserve">Total Geral</t>
  </si>
  <si>
    <t xml:space="preserve">Nº de Pedidos por Região x Faixa de Receita</t>
  </si>
  <si>
    <t xml:space="preserve">Região \ Faixa</t>
  </si>
  <si>
    <t xml:space="preserve">Tabela auxiliar — Receita por mês (fonte do gráfico de tendência)</t>
  </si>
  <si>
    <t xml:space="preserve">AnoMes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</si>
  <si>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</si>
  <si>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</si>
  <si>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</si>
  <si>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</si>
  <si>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</si>
  <si>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</si>
  <si>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</si>
  <si>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</si>
  <si>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</si>
  <si>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</si>
  <si>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</si>
  <si>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</si>
  <si>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</si>
  <si>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</si>
  <si>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</si>
  <si>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</si>
  <si>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</si>
  <si>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</si>
  <si>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</si>
  <si>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</si>
  <si>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</si>
  <si>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</si>
  <si>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</si>
  <si>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</si>
  <si>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Mini Dashboard Analítico — Vendas de Eletrônicos</t>
  </si>
  <si>
    <t xml:space="preserve">Receita Total</t>
  </si>
  <si>
    <t xml:space="preserve">Lucro Total</t>
  </si>
  <si>
    <t xml:space="preserve">Margem Média</t>
  </si>
  <si>
    <t xml:space="preserve">Ticket Médio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</si>
</sst>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0.0%"/>
    <numFmt numFmtId="168" formatCode="0"/>
    <numFmt numFmtId="169" formatCode="#,##0"/>
    <numFmt numFmtId="170" formatCode="&quot;R$ &quot;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2E75B6"/>
      <name val="Calibri"/>
      <family val="0"/>
      <charset val="1"/>
    </font>
    <font>
      <sz val="10.5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b val="true"/>
      <sz val="15"/>
      <color rgb="FF1F4E78"/>
      <name val="Calibri"/>
      <family val="0"/>
      <charset val="1"/>
    </font>
    <font>
      <i val="true"/>
      <sz val="10.5"/>
      <color rgb="FF595959"/>
      <name val="Calibri"/>
      <family val="0"/>
      <charset val="1"/>
    </font>
    <font>
      <b val="true"/>
      <sz val="10.5"/>
      <color rgb="FF1F4E78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sz val="9"/>
      <name val="Consolas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548235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2E75B6"/>
      <name val="Calibri"/>
      <family val="0"/>
      <charset val="1"/>
    </font>
    <font>
      <b val="true"/>
      <sz val="18"/>
      <color rgb="FF548235"/>
      <name val="Calibri"/>
      <family val="0"/>
      <charset val="1"/>
    </font>
    <font>
      <b val="true"/>
      <sz val="18"/>
      <color rgb="FFBF8F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808080"/>
      </patternFill>
    </fill>
    <fill>
      <patternFill patternType="solid">
        <fgColor rgb="FF2E75B6"/>
        <bgColor rgb="FF416A9C"/>
      </patternFill>
    </fill>
    <fill>
      <patternFill patternType="solid">
        <fgColor rgb="FF1F4E78"/>
        <bgColor rgb="FF003366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F7F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ABAD7"/>
      <rgbColor rgb="FF808080"/>
      <rgbColor rgb="FF7F7F7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416A9C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Total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Tabela_Dinamica!E6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Tabela_Dinamica!$B$7:$B$11</c:f>
              <c:strCache>
                <c:ptCount val="5"/>
                <c:pt idx="0">
                  <c:v>Acessórios</c:v>
                </c:pt>
                <c:pt idx="1">
                  <c:v>Fones de Ouvido</c:v>
                </c:pt>
                <c:pt idx="2">
                  <c:v>Notebooks</c:v>
                </c:pt>
                <c:pt idx="3">
                  <c:v>Smartphones</c:v>
                </c:pt>
                <c:pt idx="4">
                  <c:v>Tablets</c:v>
                </c:pt>
              </c:strCache>
            </c:strRef>
          </c:cat>
          <c:val>
            <c:numRef>
              <c:f>Tabela_Dinamica!$E$7:$E$11</c:f>
              <c:numCache>
                <c:formatCode>#,##0</c:formatCode>
                <c:ptCount val="5"/>
                <c:pt idx="0">
                  <c:v>20135.95</c:v>
                </c:pt>
                <c:pt idx="1">
                  <c:v>60780.82</c:v>
                </c:pt>
                <c:pt idx="2">
                  <c:v>321071.91</c:v>
                </c:pt>
                <c:pt idx="3">
                  <c:v>468675.37</c:v>
                </c:pt>
                <c:pt idx="4">
                  <c:v>144933.56</c:v>
                </c:pt>
              </c:numCache>
            </c:numRef>
          </c:val>
        </c:ser>
        <c:gapWidth val="150"/>
        <c:overlap val="0"/>
        <c:axId val="44852443"/>
        <c:axId val="74722874"/>
      </c:barChart>
      <c:catAx>
        <c:axId val="44852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22874"/>
        <c:crosses val="autoZero"/>
        <c:auto val="1"/>
        <c:lblAlgn val="ctr"/>
        <c:lblOffset val="100"/>
        <c:noMultiLvlLbl val="0"/>
      </c:catAx>
      <c:valAx>
        <c:axId val="74722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52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Participação da Receita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Tabela_Dinamica!$C$6:$D$6</c:f>
              <c:strCache>
                <c:ptCount val="2"/>
                <c:pt idx="0">
                  <c:v>Loja Física</c:v>
                </c:pt>
                <c:pt idx="1">
                  <c:v>Online</c:v>
                </c:pt>
              </c:strCache>
            </c:strRef>
          </c:cat>
          <c:val>
            <c:numRef>
              <c:f>Tabela_Dinamica!$C$12</c:f>
              <c:numCache>
                <c:formatCode>#,##0</c:formatCode>
                <c:ptCount val="1"/>
                <c:pt idx="0">
                  <c:v>429141.72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Tabela_Dinamica!$C$6:$D$6</c:f>
              <c:strCache>
                <c:ptCount val="2"/>
                <c:pt idx="0">
                  <c:v>Loja Física</c:v>
                </c:pt>
                <c:pt idx="1">
                  <c:v>Online</c:v>
                </c:pt>
              </c:strCache>
            </c:strRef>
          </c:cat>
          <c:val>
            <c:numRef>
              <c:f>Tabela_Dinamica!$D$12</c:f>
              <c:numCache>
                <c:formatCode>#,##0</c:formatCode>
                <c:ptCount val="1"/>
                <c:pt idx="0">
                  <c:v>586455.89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Mensal da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Tabela_Dinamica!C60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Tabela_Dinamica!$B$61:$B$84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Tabela_Dinamica!$C$61:$C$84</c:f>
              <c:numCache>
                <c:formatCode>#,##0</c:formatCode>
                <c:ptCount val="24"/>
                <c:pt idx="0">
                  <c:v>22280.18</c:v>
                </c:pt>
                <c:pt idx="1">
                  <c:v>25651.81</c:v>
                </c:pt>
                <c:pt idx="2">
                  <c:v>75293.56</c:v>
                </c:pt>
                <c:pt idx="3">
                  <c:v>70785.13</c:v>
                </c:pt>
                <c:pt idx="4">
                  <c:v>31612.36</c:v>
                </c:pt>
                <c:pt idx="5">
                  <c:v>33521.97</c:v>
                </c:pt>
                <c:pt idx="6">
                  <c:v>29480.17</c:v>
                </c:pt>
                <c:pt idx="7">
                  <c:v>40435.57</c:v>
                </c:pt>
                <c:pt idx="8">
                  <c:v>22605.33</c:v>
                </c:pt>
                <c:pt idx="9">
                  <c:v>30046.72</c:v>
                </c:pt>
                <c:pt idx="10">
                  <c:v>50154.31</c:v>
                </c:pt>
                <c:pt idx="11">
                  <c:v>70724.14</c:v>
                </c:pt>
                <c:pt idx="12">
                  <c:v>26891.71</c:v>
                </c:pt>
                <c:pt idx="13">
                  <c:v>39853.66</c:v>
                </c:pt>
                <c:pt idx="14">
                  <c:v>39096.75</c:v>
                </c:pt>
                <c:pt idx="15">
                  <c:v>62074.87</c:v>
                </c:pt>
                <c:pt idx="16">
                  <c:v>39454.9</c:v>
                </c:pt>
                <c:pt idx="17">
                  <c:v>37682.44</c:v>
                </c:pt>
                <c:pt idx="18">
                  <c:v>68097.81</c:v>
                </c:pt>
                <c:pt idx="19">
                  <c:v>61396.74</c:v>
                </c:pt>
                <c:pt idx="20">
                  <c:v>39152.21</c:v>
                </c:pt>
                <c:pt idx="21">
                  <c:v>25629.95</c:v>
                </c:pt>
                <c:pt idx="22">
                  <c:v>43004.65</c:v>
                </c:pt>
                <c:pt idx="23">
                  <c:v>30670.67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329212"/>
        <c:axId val="49806295"/>
      </c:lineChart>
      <c:catAx>
        <c:axId val="39329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6295"/>
        <c:crosses val="autoZero"/>
        <c:auto val="1"/>
        <c:lblAlgn val="ctr"/>
        <c:lblOffset val="100"/>
        <c:noMultiLvlLbl val="0"/>
      </c:catAx>
      <c:valAx>
        <c:axId val="49806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29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Pedidos por Região e Faixa de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Tabela_Dinamica!C16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Tabela_Dinamica!$B$17:$B$21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Tabela_Dinamica!$C$17:$C$21</c:f>
              <c:numCache>
                <c:formatCode>0</c:formatCode>
                <c:ptCount val="5"/>
                <c:pt idx="0">
                  <c:v>15</c:v>
                </c:pt>
                <c:pt idx="1">
                  <c:v>27</c:v>
                </c:pt>
                <c:pt idx="2">
                  <c:v>17</c:v>
                </c:pt>
                <c:pt idx="3">
                  <c:v>79</c:v>
                </c:pt>
                <c:pt idx="4">
                  <c:v>34</c:v>
                </c:pt>
              </c:numCache>
            </c:numRef>
          </c:val>
        </c:ser>
        <c:ser>
          <c:idx val="1"/>
          <c:order val="1"/>
          <c:tx>
            <c:strRef>
              <c:f>Tabela_Dinamica!D16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Tabela_Dinamica!$B$17:$B$21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Tabela_Dinamica!$D$17:$D$21</c:f>
              <c:numCache>
                <c:formatCode>0</c:formatCode>
                <c:ptCount val="5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40</c:v>
                </c:pt>
                <c:pt idx="4">
                  <c:v>21</c:v>
                </c:pt>
              </c:numCache>
            </c:numRef>
          </c:val>
        </c:ser>
        <c:ser>
          <c:idx val="2"/>
          <c:order val="2"/>
          <c:tx>
            <c:strRef>
              <c:f>Tabela_Dinamica!E16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aaba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Tabela_Dinamica!$B$17:$B$21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Tabela_Dinamica!$E$17:$E$21</c:f>
              <c:numCache>
                <c:formatCode>0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13</c:v>
                </c:pt>
                <c:pt idx="3">
                  <c:v>56</c:v>
                </c:pt>
                <c:pt idx="4">
                  <c:v>25</c:v>
                </c:pt>
              </c:numCache>
            </c:numRef>
          </c:val>
        </c:ser>
        <c:gapWidth val="150"/>
        <c:overlap val="100"/>
        <c:axId val="2508033"/>
        <c:axId val="49251620"/>
      </c:barChart>
      <c:catAx>
        <c:axId val="2508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51620"/>
        <c:crosses val="autoZero"/>
        <c:auto val="1"/>
        <c:lblAlgn val="ctr"/>
        <c:lblOffset val="100"/>
        <c:noMultiLvlLbl val="0"/>
      </c:catAx>
      <c:valAx>
        <c:axId val="49251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8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130680</xdr:rowOff>
    </xdr:from>
    <xdr:to>
      <xdr:col>7</xdr:col>
      <xdr:colOff>261720</xdr:colOff>
      <xdr:row>24</xdr:row>
      <xdr:rowOff>131760</xdr:rowOff>
    </xdr:to>
    <xdr:graphicFrame>
      <xdr:nvGraphicFramePr>
        <xdr:cNvPr id="0" name="Chart 1"/>
        <xdr:cNvGraphicFramePr/>
      </xdr:nvGraphicFramePr>
      <xdr:xfrm>
        <a:off x="916200" y="1752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130680</xdr:rowOff>
    </xdr:from>
    <xdr:to>
      <xdr:col>16</xdr:col>
      <xdr:colOff>259920</xdr:colOff>
      <xdr:row>24</xdr:row>
      <xdr:rowOff>131760</xdr:rowOff>
    </xdr:to>
    <xdr:graphicFrame>
      <xdr:nvGraphicFramePr>
        <xdr:cNvPr id="1" name="Chart 2"/>
        <xdr:cNvGraphicFramePr/>
      </xdr:nvGraphicFramePr>
      <xdr:xfrm>
        <a:off x="8246880" y="1752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130680</xdr:rowOff>
    </xdr:from>
    <xdr:to>
      <xdr:col>7</xdr:col>
      <xdr:colOff>261720</xdr:colOff>
      <xdr:row>41</xdr:row>
      <xdr:rowOff>131760</xdr:rowOff>
    </xdr:to>
    <xdr:graphicFrame>
      <xdr:nvGraphicFramePr>
        <xdr:cNvPr id="2" name="Chart 3"/>
        <xdr:cNvGraphicFramePr/>
      </xdr:nvGraphicFramePr>
      <xdr:xfrm>
        <a:off x="916200" y="4991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130680</xdr:rowOff>
    </xdr:from>
    <xdr:to>
      <xdr:col>16</xdr:col>
      <xdr:colOff>259920</xdr:colOff>
      <xdr:row>41</xdr:row>
      <xdr:rowOff>131760</xdr:rowOff>
    </xdr:to>
    <xdr:graphicFrame>
      <xdr:nvGraphicFramePr>
        <xdr:cNvPr id="3" name="Chart 4"/>
        <xdr:cNvGraphicFramePr/>
      </xdr:nvGraphicFramePr>
      <xdr:xfrm>
        <a:off x="8246880" y="4991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ruta" displayName="tblBruta" ref="A1:L435" headerRowCount="1" totalsRowCount="0" totalsRowShown="0">
  <autoFilter ref="A1:L435"/>
  <tableColumns count="12">
    <tableColumn id="1" name="id_venda"/>
    <tableColumn id="2" name="DATA_VENDA"/>
    <tableColumn id="3" name=" regiao"/>
    <tableColumn id="4" name="categoria "/>
    <tableColumn id="5" name="Produto"/>
    <tableColumn id="6" name="CANAL "/>
    <tableColumn id="7" name="segmento"/>
    <tableColumn id="8" name="Cliente "/>
    <tableColumn id="9" name="QTD"/>
    <tableColumn id="10" name="preco_unitario"/>
    <tableColumn id="11" name="custo_unitario"/>
    <tableColumn id="12" name="Observacao"/>
  </tableColumns>
</table>
</file>

<file path=xl/tables/table2.xml><?xml version="1.0" encoding="utf-8"?>
<table xmlns="http://schemas.openxmlformats.org/spreadsheetml/2006/main" id="2" name="tblTratada" displayName="tblTratada" ref="A1:R412" headerRowCount="1" totalsRowCount="0" totalsRowShown="0">
  <autoFilter ref="A1:R412"/>
  <tableColumns count="18">
    <tableColumn id="1" name="ID_Venda"/>
    <tableColumn id="2" name="Data"/>
    <tableColumn id="3" name="Ano"/>
    <tableColumn id="4" name="Mes"/>
    <tableColumn id="5" name="Regiao"/>
    <tableColumn id="6" name="Categoria"/>
    <tableColumn id="7" name="Produto"/>
    <tableColumn id="8" name="Canal"/>
    <tableColumn id="9" name="Segmento_Cliente"/>
    <tableColumn id="10" name="Cliente"/>
    <tableColumn id="11" name="Quantidade"/>
    <tableColumn id="12" name="Preco_Unitario"/>
    <tableColumn id="13" name="Custo_Unitario"/>
    <tableColumn id="14" name="Receita"/>
    <tableColumn id="15" name="Custo_Total"/>
    <tableColumn id="16" name="Lucro"/>
    <tableColumn id="17" name="Margem_%"/>
    <tableColumn id="18" name="Faixa_Recei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8"/>
  </cols>
  <sheetData>
    <row r="2" customFormat="false" ht="22.0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9" customFormat="false" ht="15" hidden="false" customHeight="false" outlineLevel="0" collapsed="false">
      <c r="B9" s="3" t="s">
        <v>4</v>
      </c>
    </row>
    <row r="10" customFormat="false" ht="27.75" hidden="false" customHeight="true" outlineLevel="0" collapsed="false">
      <c r="B10" s="5" t="s">
        <v>5</v>
      </c>
      <c r="C10" s="6" t="s">
        <v>6</v>
      </c>
    </row>
    <row r="11" customFormat="false" ht="27.75" hidden="false" customHeight="true" outlineLevel="0" collapsed="false">
      <c r="B11" s="5" t="s">
        <v>7</v>
      </c>
      <c r="C11" s="6" t="s">
        <v>8</v>
      </c>
    </row>
    <row r="12" customFormat="false" ht="27.75" hidden="false" customHeight="true" outlineLevel="0" collapsed="false">
      <c r="B12" s="5" t="s">
        <v>9</v>
      </c>
      <c r="C12" s="6" t="s">
        <v>10</v>
      </c>
    </row>
    <row r="13" customFormat="false" ht="27.75" hidden="false" customHeight="true" outlineLevel="0" collapsed="false">
      <c r="B13" s="5" t="s">
        <v>11</v>
      </c>
      <c r="C13" s="6" t="s">
        <v>12</v>
      </c>
    </row>
    <row r="14" customFormat="false" ht="27.75" hidden="false" customHeight="true" outlineLevel="0" collapsed="false">
      <c r="B14" s="5" t="s">
        <v>13</v>
      </c>
      <c r="C14" s="6" t="s">
        <v>14</v>
      </c>
    </row>
    <row r="15" customFormat="false" ht="27.75" hidden="false" customHeight="true" outlineLevel="0" collapsed="false">
      <c r="B15" s="5" t="s">
        <v>15</v>
      </c>
      <c r="C15" s="6" t="s">
        <v>16</v>
      </c>
    </row>
    <row r="18" customFormat="false" ht="15" hidden="false" customHeight="false" outlineLevel="0" collapsed="false">
      <c r="B18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5" hidden="false" customHeight="fals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</row>
    <row r="2" customFormat="false" ht="15" hidden="false" customHeight="false" outlineLevel="0" collapsed="false">
      <c r="A2" s="0" t="n">
        <v>128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n">
        <v>1</v>
      </c>
      <c r="J2" s="0" t="n">
        <v>334.41</v>
      </c>
      <c r="K2" s="0" t="n">
        <v>205.99</v>
      </c>
    </row>
    <row r="3" customFormat="false" ht="15" hidden="false" customHeight="false" outlineLevel="0" collapsed="false">
      <c r="A3" s="0" t="n">
        <v>28</v>
      </c>
      <c r="B3" s="0" t="s">
        <v>37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35</v>
      </c>
      <c r="H3" s="0" t="s">
        <v>42</v>
      </c>
      <c r="I3" s="0" t="n">
        <v>2</v>
      </c>
      <c r="J3" s="0" t="n">
        <v>413.33</v>
      </c>
      <c r="K3" s="0" t="n">
        <v>275.48</v>
      </c>
    </row>
    <row r="4" customFormat="false" ht="15" hidden="false" customHeight="false" outlineLevel="0" collapsed="false">
      <c r="A4" s="0" t="n">
        <v>226</v>
      </c>
      <c r="B4" s="0" t="s">
        <v>43</v>
      </c>
      <c r="C4" s="0" t="s">
        <v>44</v>
      </c>
      <c r="D4" s="0" t="s">
        <v>45</v>
      </c>
      <c r="E4" s="0" t="s">
        <v>46</v>
      </c>
      <c r="F4" s="0" t="s">
        <v>47</v>
      </c>
      <c r="G4" s="0" t="s">
        <v>35</v>
      </c>
      <c r="H4" s="0" t="s">
        <v>48</v>
      </c>
      <c r="I4" s="0" t="n">
        <v>1</v>
      </c>
      <c r="J4" s="0" t="n">
        <v>915.45</v>
      </c>
      <c r="K4" s="0" t="n">
        <v>661.69</v>
      </c>
    </row>
    <row r="5" customFormat="false" ht="15" hidden="false" customHeight="false" outlineLevel="0" collapsed="false">
      <c r="A5" s="0" t="n">
        <v>155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n">
        <v>1</v>
      </c>
      <c r="J5" s="0" t="n">
        <v>835.27</v>
      </c>
      <c r="K5" s="0" t="n">
        <v>559.35</v>
      </c>
    </row>
    <row r="6" customFormat="false" ht="15" hidden="false" customHeight="false" outlineLevel="0" collapsed="false">
      <c r="A6" s="0" t="n">
        <v>143</v>
      </c>
      <c r="B6" s="0" t="s">
        <v>56</v>
      </c>
      <c r="C6" s="0" t="s">
        <v>57</v>
      </c>
      <c r="D6" s="0" t="s">
        <v>58</v>
      </c>
      <c r="E6" s="0" t="s">
        <v>59</v>
      </c>
      <c r="F6" s="0" t="s">
        <v>60</v>
      </c>
      <c r="G6" s="0" t="s">
        <v>35</v>
      </c>
      <c r="H6" s="0" t="s">
        <v>61</v>
      </c>
      <c r="I6" s="0" t="n">
        <v>1</v>
      </c>
      <c r="J6" s="0" t="n">
        <v>290.76</v>
      </c>
      <c r="K6" s="0" t="n">
        <v>178.88</v>
      </c>
    </row>
    <row r="7" customFormat="false" ht="15" hidden="false" customHeight="false" outlineLevel="0" collapsed="false">
      <c r="A7" s="0" t="n">
        <v>88</v>
      </c>
      <c r="B7" s="0" t="s">
        <v>62</v>
      </c>
      <c r="C7" s="0" t="s">
        <v>63</v>
      </c>
      <c r="D7" s="0" t="s">
        <v>64</v>
      </c>
      <c r="E7" s="0" t="s">
        <v>65</v>
      </c>
      <c r="F7" s="0" t="s">
        <v>66</v>
      </c>
      <c r="G7" s="0" t="s">
        <v>35</v>
      </c>
      <c r="H7" s="0" t="s">
        <v>67</v>
      </c>
      <c r="I7" s="0" t="n">
        <v>1</v>
      </c>
      <c r="J7" s="0" t="n">
        <v>583.71</v>
      </c>
      <c r="K7" s="0" t="n">
        <v>374.56</v>
      </c>
    </row>
    <row r="8" customFormat="false" ht="15" hidden="false" customHeight="false" outlineLevel="0" collapsed="false">
      <c r="A8" s="0" t="n">
        <v>115</v>
      </c>
      <c r="B8" s="0" t="s">
        <v>68</v>
      </c>
      <c r="C8" s="0" t="s">
        <v>69</v>
      </c>
      <c r="D8" s="0" t="s">
        <v>70</v>
      </c>
      <c r="E8" s="0" t="s">
        <v>71</v>
      </c>
      <c r="F8" s="0" t="s">
        <v>72</v>
      </c>
      <c r="G8" s="0" t="s">
        <v>54</v>
      </c>
      <c r="H8" s="0" t="s">
        <v>73</v>
      </c>
      <c r="I8" s="0" t="n">
        <v>2</v>
      </c>
      <c r="J8" s="0" t="n">
        <v>955.73</v>
      </c>
      <c r="K8" s="0" t="n">
        <v>549.46</v>
      </c>
    </row>
    <row r="9" customFormat="false" ht="15" hidden="false" customHeight="false" outlineLevel="0" collapsed="false">
      <c r="A9" s="0" t="n">
        <v>238</v>
      </c>
      <c r="B9" s="0" t="s">
        <v>74</v>
      </c>
      <c r="C9" s="0" t="s">
        <v>44</v>
      </c>
      <c r="D9" s="0" t="s">
        <v>75</v>
      </c>
      <c r="E9" s="0" t="s">
        <v>76</v>
      </c>
      <c r="F9" s="0" t="s">
        <v>77</v>
      </c>
      <c r="G9" s="0" t="s">
        <v>35</v>
      </c>
      <c r="H9" s="0" t="s">
        <v>78</v>
      </c>
      <c r="I9" s="0" t="n">
        <v>1</v>
      </c>
      <c r="J9" s="0" t="n">
        <v>146.55</v>
      </c>
      <c r="K9" s="0" t="n">
        <v>96.69</v>
      </c>
    </row>
    <row r="10" customFormat="false" ht="15" hidden="false" customHeight="false" outlineLevel="0" collapsed="false">
      <c r="A10" s="0" t="n">
        <v>154</v>
      </c>
      <c r="B10" s="0" t="s">
        <v>49</v>
      </c>
      <c r="C10" s="0" t="s">
        <v>79</v>
      </c>
      <c r="D10" s="0" t="s">
        <v>80</v>
      </c>
      <c r="E10" s="0" t="s">
        <v>81</v>
      </c>
      <c r="F10" s="0" t="s">
        <v>82</v>
      </c>
      <c r="G10" s="0" t="s">
        <v>54</v>
      </c>
      <c r="H10" s="0" t="s">
        <v>83</v>
      </c>
      <c r="I10" s="0" t="n">
        <v>2</v>
      </c>
      <c r="J10" s="0" t="n">
        <v>424.71</v>
      </c>
      <c r="K10" s="0" t="n">
        <v>307.04</v>
      </c>
    </row>
    <row r="11" customFormat="false" ht="15" hidden="false" customHeight="false" outlineLevel="0" collapsed="false">
      <c r="A11" s="0" t="n">
        <v>124</v>
      </c>
      <c r="B11" s="0" t="s">
        <v>84</v>
      </c>
      <c r="C11" s="0" t="s">
        <v>85</v>
      </c>
      <c r="D11" s="0" t="s">
        <v>51</v>
      </c>
      <c r="E11" s="0" t="s">
        <v>40</v>
      </c>
      <c r="F11" s="0" t="s">
        <v>86</v>
      </c>
      <c r="G11" s="0" t="s">
        <v>35</v>
      </c>
      <c r="H11" s="0" t="s">
        <v>87</v>
      </c>
      <c r="I11" s="0" t="n">
        <v>1</v>
      </c>
      <c r="J11" s="0" t="n">
        <v>583.98</v>
      </c>
      <c r="K11" s="0" t="n">
        <v>404.11</v>
      </c>
    </row>
    <row r="12" customFormat="false" ht="15" hidden="false" customHeight="false" outlineLevel="0" collapsed="false">
      <c r="A12" s="0" t="n">
        <v>147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35</v>
      </c>
      <c r="H12" s="0" t="s">
        <v>93</v>
      </c>
      <c r="I12" s="0" t="n">
        <v>1</v>
      </c>
      <c r="J12" s="0" t="n">
        <v>6317.25</v>
      </c>
      <c r="K12" s="0" t="n">
        <v>3670.71</v>
      </c>
    </row>
    <row r="13" customFormat="false" ht="15" hidden="false" customHeight="false" outlineLevel="0" collapsed="false">
      <c r="A13" s="0" t="n">
        <v>292</v>
      </c>
      <c r="B13" s="0" t="s">
        <v>94</v>
      </c>
      <c r="C13" s="0" t="s">
        <v>38</v>
      </c>
      <c r="D13" s="0" t="s">
        <v>95</v>
      </c>
      <c r="E13" s="0" t="s">
        <v>96</v>
      </c>
      <c r="F13" s="0" t="s">
        <v>47</v>
      </c>
      <c r="G13" s="0" t="s">
        <v>35</v>
      </c>
      <c r="H13" s="0" t="s">
        <v>97</v>
      </c>
      <c r="I13" s="0" t="n">
        <v>2</v>
      </c>
      <c r="J13" s="0" t="n">
        <v>1230.99</v>
      </c>
      <c r="K13" s="0" t="n">
        <v>704.25</v>
      </c>
    </row>
    <row r="14" customFormat="false" ht="15" hidden="false" customHeight="false" outlineLevel="0" collapsed="false">
      <c r="A14" s="0" t="n">
        <v>390</v>
      </c>
      <c r="B14" s="0" t="s">
        <v>98</v>
      </c>
      <c r="C14" s="0" t="s">
        <v>99</v>
      </c>
      <c r="D14" s="0" t="s">
        <v>100</v>
      </c>
      <c r="E14" s="0" t="s">
        <v>101</v>
      </c>
      <c r="F14" s="0" t="s">
        <v>102</v>
      </c>
      <c r="G14" s="0" t="s">
        <v>35</v>
      </c>
      <c r="H14" s="0" t="s">
        <v>103</v>
      </c>
      <c r="I14" s="0" t="n">
        <v>1</v>
      </c>
      <c r="J14" s="0" t="n">
        <v>245.73</v>
      </c>
      <c r="K14" s="0" t="n">
        <v>172.05</v>
      </c>
    </row>
    <row r="15" customFormat="false" ht="15" hidden="false" customHeight="false" outlineLevel="0" collapsed="false">
      <c r="A15" s="0" t="n">
        <v>404</v>
      </c>
      <c r="B15" s="0" t="s">
        <v>104</v>
      </c>
      <c r="C15" s="0" t="s">
        <v>105</v>
      </c>
      <c r="D15" s="0" t="s">
        <v>106</v>
      </c>
      <c r="E15" s="0" t="s">
        <v>107</v>
      </c>
      <c r="F15" s="0" t="s">
        <v>108</v>
      </c>
      <c r="G15" s="0" t="s">
        <v>35</v>
      </c>
      <c r="H15" s="0" t="s">
        <v>109</v>
      </c>
      <c r="I15" s="0" t="n">
        <v>2</v>
      </c>
      <c r="J15" s="0" t="n">
        <v>525.55</v>
      </c>
      <c r="K15" s="0" t="n">
        <v>352.01</v>
      </c>
    </row>
    <row r="16" customFormat="false" ht="15" hidden="false" customHeight="false" outlineLevel="0" collapsed="false">
      <c r="A16" s="0" t="n">
        <v>240</v>
      </c>
      <c r="B16" s="0" t="s">
        <v>110</v>
      </c>
      <c r="C16" s="0" t="s">
        <v>111</v>
      </c>
      <c r="D16" s="0" t="s">
        <v>112</v>
      </c>
      <c r="E16" s="0" t="s">
        <v>113</v>
      </c>
      <c r="F16" s="0" t="s">
        <v>114</v>
      </c>
      <c r="G16" s="0" t="s">
        <v>35</v>
      </c>
      <c r="H16" s="0" t="s">
        <v>115</v>
      </c>
      <c r="I16" s="0" t="n">
        <v>1</v>
      </c>
      <c r="J16" s="0" t="n">
        <v>4551.83</v>
      </c>
      <c r="K16" s="0" t="n">
        <v>2786.53</v>
      </c>
    </row>
    <row r="17" customFormat="false" ht="15" hidden="false" customHeight="false" outlineLevel="0" collapsed="false">
      <c r="A17" s="0" t="n">
        <v>211</v>
      </c>
      <c r="B17" s="0" t="s">
        <v>116</v>
      </c>
      <c r="C17" s="0" t="s">
        <v>117</v>
      </c>
      <c r="D17" s="0" t="s">
        <v>80</v>
      </c>
      <c r="E17" s="0" t="s">
        <v>118</v>
      </c>
      <c r="F17" s="0" t="s">
        <v>119</v>
      </c>
      <c r="G17" s="0" t="s">
        <v>35</v>
      </c>
      <c r="H17" s="0" t="s">
        <v>120</v>
      </c>
      <c r="I17" s="0" t="n">
        <v>1</v>
      </c>
      <c r="J17" s="0" t="n">
        <v>454.25</v>
      </c>
      <c r="K17" s="0" t="n">
        <v>287.62</v>
      </c>
    </row>
    <row r="18" customFormat="false" ht="15" hidden="false" customHeight="false" outlineLevel="0" collapsed="false">
      <c r="A18" s="0" t="n">
        <v>240</v>
      </c>
      <c r="B18" s="0" t="s">
        <v>110</v>
      </c>
      <c r="C18" s="0" t="s">
        <v>111</v>
      </c>
      <c r="D18" s="0" t="s">
        <v>112</v>
      </c>
      <c r="E18" s="0" t="s">
        <v>113</v>
      </c>
      <c r="F18" s="0" t="s">
        <v>114</v>
      </c>
      <c r="G18" s="0" t="s">
        <v>35</v>
      </c>
      <c r="H18" s="0" t="s">
        <v>115</v>
      </c>
      <c r="I18" s="0" t="n">
        <v>1</v>
      </c>
      <c r="J18" s="0" t="n">
        <v>4551.83</v>
      </c>
      <c r="K18" s="0" t="n">
        <v>2786.53</v>
      </c>
    </row>
    <row r="19" customFormat="false" ht="15" hidden="false" customHeight="false" outlineLevel="0" collapsed="false">
      <c r="A19" s="0" t="n">
        <v>17</v>
      </c>
      <c r="B19" s="0" t="s">
        <v>121</v>
      </c>
      <c r="C19" s="0" t="s">
        <v>38</v>
      </c>
      <c r="D19" s="0" t="s">
        <v>122</v>
      </c>
      <c r="E19" s="0" t="s">
        <v>123</v>
      </c>
      <c r="F19" s="0" t="s">
        <v>114</v>
      </c>
      <c r="G19" s="0" t="s">
        <v>35</v>
      </c>
      <c r="H19" s="0" t="s">
        <v>124</v>
      </c>
      <c r="I19" s="0" t="n">
        <v>1</v>
      </c>
      <c r="J19" s="0" t="n">
        <v>4407.58</v>
      </c>
      <c r="K19" s="0" t="n">
        <v>2677.27</v>
      </c>
    </row>
    <row r="20" customFormat="false" ht="15" hidden="false" customHeight="false" outlineLevel="0" collapsed="false">
      <c r="A20" s="0" t="n">
        <v>372</v>
      </c>
      <c r="B20" s="0" t="s">
        <v>125</v>
      </c>
      <c r="C20" s="0" t="s">
        <v>99</v>
      </c>
      <c r="D20" s="0" t="s">
        <v>126</v>
      </c>
      <c r="E20" s="0" t="s">
        <v>127</v>
      </c>
      <c r="F20" s="0" t="s">
        <v>66</v>
      </c>
      <c r="G20" s="0" t="s">
        <v>35</v>
      </c>
      <c r="H20" s="0" t="s">
        <v>128</v>
      </c>
      <c r="I20" s="0" t="n">
        <v>2</v>
      </c>
      <c r="J20" s="0" t="n">
        <v>6511.76</v>
      </c>
      <c r="K20" s="0" t="n">
        <v>4576.81</v>
      </c>
    </row>
    <row r="21" customFormat="false" ht="15" hidden="false" customHeight="false" outlineLevel="0" collapsed="false">
      <c r="A21" s="0" t="n">
        <v>62</v>
      </c>
      <c r="B21" s="0" t="s">
        <v>129</v>
      </c>
      <c r="C21" s="0" t="s">
        <v>130</v>
      </c>
      <c r="D21" s="0" t="s">
        <v>131</v>
      </c>
      <c r="E21" s="0" t="s">
        <v>132</v>
      </c>
      <c r="F21" s="0" t="s">
        <v>133</v>
      </c>
      <c r="G21" s="0" t="s">
        <v>35</v>
      </c>
      <c r="H21" s="0" t="s">
        <v>134</v>
      </c>
      <c r="I21" s="0" t="n">
        <v>1</v>
      </c>
      <c r="J21" s="0" t="n">
        <v>7978.09</v>
      </c>
      <c r="K21" s="0" t="n">
        <v>5905.48</v>
      </c>
    </row>
    <row r="22" customFormat="false" ht="15" hidden="false" customHeight="false" outlineLevel="0" collapsed="false">
      <c r="A22" s="0" t="n">
        <v>162</v>
      </c>
      <c r="B22" s="0" t="s">
        <v>135</v>
      </c>
      <c r="C22" s="0" t="s">
        <v>136</v>
      </c>
      <c r="D22" s="0" t="s">
        <v>137</v>
      </c>
      <c r="E22" s="0" t="s">
        <v>138</v>
      </c>
      <c r="F22" s="0" t="s">
        <v>108</v>
      </c>
      <c r="G22" s="0" t="s">
        <v>35</v>
      </c>
      <c r="H22" s="0" t="s">
        <v>139</v>
      </c>
      <c r="I22" s="0" t="n">
        <v>1</v>
      </c>
      <c r="J22" s="0" t="n">
        <v>3916.31</v>
      </c>
      <c r="K22" s="0" t="n">
        <v>2891.87</v>
      </c>
    </row>
    <row r="23" customFormat="false" ht="15" hidden="false" customHeight="false" outlineLevel="0" collapsed="false">
      <c r="A23" s="0" t="n">
        <v>15</v>
      </c>
      <c r="B23" s="0" t="s">
        <v>140</v>
      </c>
      <c r="C23" s="0" t="s">
        <v>141</v>
      </c>
      <c r="D23" s="0" t="s">
        <v>64</v>
      </c>
      <c r="E23" s="0" t="s">
        <v>142</v>
      </c>
      <c r="F23" s="0" t="s">
        <v>143</v>
      </c>
      <c r="G23" s="0" t="s">
        <v>35</v>
      </c>
      <c r="H23" s="0" t="s">
        <v>144</v>
      </c>
      <c r="I23" s="0" t="n">
        <v>2</v>
      </c>
      <c r="J23" s="0" t="n">
        <v>714.45</v>
      </c>
      <c r="K23" s="0" t="n">
        <v>514.45</v>
      </c>
    </row>
    <row r="24" customFormat="false" ht="15" hidden="false" customHeight="false" outlineLevel="0" collapsed="false">
      <c r="A24" s="0" t="n">
        <v>269</v>
      </c>
      <c r="B24" s="0" t="s">
        <v>145</v>
      </c>
      <c r="C24" s="0" t="s">
        <v>146</v>
      </c>
      <c r="D24" s="0" t="s">
        <v>147</v>
      </c>
      <c r="E24" s="0" t="s">
        <v>148</v>
      </c>
      <c r="F24" s="0" t="s">
        <v>149</v>
      </c>
      <c r="G24" s="0" t="s">
        <v>54</v>
      </c>
      <c r="H24" s="0" t="s">
        <v>150</v>
      </c>
      <c r="I24" s="0" t="n">
        <v>2</v>
      </c>
      <c r="J24" s="0" t="n">
        <v>2895.48</v>
      </c>
      <c r="K24" s="0" t="n">
        <v>2253.31</v>
      </c>
    </row>
    <row r="25" customFormat="false" ht="15" hidden="false" customHeight="false" outlineLevel="0" collapsed="false">
      <c r="A25" s="0" t="n">
        <v>16</v>
      </c>
      <c r="B25" s="0" t="s">
        <v>151</v>
      </c>
      <c r="C25" s="0" t="s">
        <v>152</v>
      </c>
      <c r="D25" s="0" t="s">
        <v>153</v>
      </c>
      <c r="E25" s="0" t="s">
        <v>59</v>
      </c>
      <c r="F25" s="0" t="s">
        <v>41</v>
      </c>
      <c r="G25" s="0" t="s">
        <v>35</v>
      </c>
      <c r="H25" s="0" t="s">
        <v>154</v>
      </c>
      <c r="I25" s="0" t="n">
        <v>1</v>
      </c>
      <c r="J25" s="0" t="n">
        <v>199.17</v>
      </c>
    </row>
    <row r="26" customFormat="false" ht="15" hidden="false" customHeight="false" outlineLevel="0" collapsed="false">
      <c r="A26" s="0" t="n">
        <v>41</v>
      </c>
      <c r="B26" s="0" t="s">
        <v>155</v>
      </c>
      <c r="C26" s="0" t="s">
        <v>156</v>
      </c>
      <c r="D26" s="0" t="s">
        <v>157</v>
      </c>
      <c r="E26" s="0" t="s">
        <v>158</v>
      </c>
      <c r="F26" s="0" t="s">
        <v>159</v>
      </c>
      <c r="G26" s="0" t="s">
        <v>35</v>
      </c>
      <c r="H26" s="0" t="s">
        <v>160</v>
      </c>
      <c r="I26" s="0" t="n">
        <v>2</v>
      </c>
      <c r="J26" s="0" t="n">
        <v>2348.44</v>
      </c>
      <c r="K26" s="0" t="n">
        <v>1623.9</v>
      </c>
    </row>
    <row r="27" customFormat="false" ht="15" hidden="false" customHeight="false" outlineLevel="0" collapsed="false">
      <c r="A27" s="0" t="n">
        <v>297</v>
      </c>
      <c r="B27" s="0" t="s">
        <v>161</v>
      </c>
      <c r="C27" s="0" t="s">
        <v>130</v>
      </c>
      <c r="D27" s="0" t="s">
        <v>58</v>
      </c>
      <c r="E27" s="0" t="s">
        <v>162</v>
      </c>
      <c r="F27" s="0" t="s">
        <v>163</v>
      </c>
      <c r="G27" s="0" t="s">
        <v>54</v>
      </c>
      <c r="H27" s="0" t="s">
        <v>164</v>
      </c>
      <c r="I27" s="0" t="n">
        <v>1</v>
      </c>
      <c r="J27" s="0" t="n">
        <v>191.35</v>
      </c>
      <c r="K27" s="0" t="n">
        <v>119.09</v>
      </c>
    </row>
    <row r="28" customFormat="false" ht="15" hidden="false" customHeight="false" outlineLevel="0" collapsed="false">
      <c r="A28" s="0" t="n">
        <v>82</v>
      </c>
      <c r="B28" s="0" t="s">
        <v>165</v>
      </c>
      <c r="C28" s="0" t="s">
        <v>166</v>
      </c>
      <c r="D28" s="0" t="s">
        <v>167</v>
      </c>
      <c r="E28" s="0" t="s">
        <v>168</v>
      </c>
      <c r="F28" s="0" t="s">
        <v>169</v>
      </c>
      <c r="G28" s="0" t="s">
        <v>35</v>
      </c>
      <c r="H28" s="0" t="s">
        <v>170</v>
      </c>
      <c r="I28" s="0" t="n">
        <v>2</v>
      </c>
      <c r="J28" s="0" t="n">
        <v>274.69</v>
      </c>
      <c r="K28" s="0" t="n">
        <v>181.44</v>
      </c>
    </row>
    <row r="29" customFormat="false" ht="15" hidden="false" customHeight="false" outlineLevel="0" collapsed="false">
      <c r="A29" s="0" t="n">
        <v>246</v>
      </c>
      <c r="B29" s="0" t="s">
        <v>171</v>
      </c>
      <c r="C29" s="0" t="s">
        <v>152</v>
      </c>
      <c r="D29" s="0" t="s">
        <v>172</v>
      </c>
      <c r="E29" s="0" t="s">
        <v>173</v>
      </c>
      <c r="F29" s="0" t="s">
        <v>77</v>
      </c>
      <c r="G29" s="0" t="s">
        <v>35</v>
      </c>
      <c r="H29" s="0" t="s">
        <v>174</v>
      </c>
      <c r="I29" s="0" t="n">
        <v>1</v>
      </c>
      <c r="J29" s="0" t="n">
        <v>31.16</v>
      </c>
      <c r="K29" s="0" t="n">
        <v>17.92</v>
      </c>
    </row>
    <row r="30" customFormat="false" ht="15" hidden="false" customHeight="false" outlineLevel="0" collapsed="false">
      <c r="A30" s="0" t="n">
        <v>318</v>
      </c>
      <c r="B30" s="0" t="s">
        <v>175</v>
      </c>
      <c r="C30" s="0" t="s">
        <v>176</v>
      </c>
      <c r="D30" s="0" t="s">
        <v>177</v>
      </c>
      <c r="E30" s="0" t="s">
        <v>178</v>
      </c>
      <c r="F30" s="0" t="s">
        <v>179</v>
      </c>
      <c r="G30" s="0" t="s">
        <v>35</v>
      </c>
      <c r="H30" s="0" t="s">
        <v>180</v>
      </c>
      <c r="I30" s="0" t="n">
        <v>1</v>
      </c>
      <c r="J30" s="0" t="n">
        <v>1627.63</v>
      </c>
      <c r="K30" s="0" t="n">
        <v>1140.73</v>
      </c>
    </row>
    <row r="31" customFormat="false" ht="15" hidden="false" customHeight="false" outlineLevel="0" collapsed="false">
      <c r="A31" s="0" t="n">
        <v>198</v>
      </c>
      <c r="B31" s="0" t="s">
        <v>181</v>
      </c>
      <c r="C31" s="0" t="s">
        <v>38</v>
      </c>
      <c r="D31" s="0" t="s">
        <v>182</v>
      </c>
      <c r="E31" s="0" t="s">
        <v>183</v>
      </c>
      <c r="F31" s="0" t="s">
        <v>60</v>
      </c>
      <c r="G31" s="0" t="s">
        <v>35</v>
      </c>
      <c r="H31" s="0" t="s">
        <v>184</v>
      </c>
      <c r="I31" s="0" t="n">
        <v>1</v>
      </c>
      <c r="J31" s="0" t="n">
        <v>895.91</v>
      </c>
      <c r="K31" s="0" t="n">
        <v>572.02</v>
      </c>
    </row>
    <row r="32" customFormat="false" ht="15" hidden="false" customHeight="false" outlineLevel="0" collapsed="false">
      <c r="A32" s="0" t="n">
        <v>256</v>
      </c>
      <c r="B32" s="0" t="s">
        <v>185</v>
      </c>
      <c r="C32" s="0" t="s">
        <v>186</v>
      </c>
      <c r="D32" s="0" t="s">
        <v>172</v>
      </c>
      <c r="E32" s="0" t="s">
        <v>187</v>
      </c>
      <c r="F32" s="0" t="s">
        <v>169</v>
      </c>
      <c r="G32" s="0" t="s">
        <v>35</v>
      </c>
      <c r="H32" s="0" t="s">
        <v>188</v>
      </c>
      <c r="I32" s="0" t="n">
        <v>2</v>
      </c>
      <c r="J32" s="0" t="n">
        <v>337</v>
      </c>
      <c r="K32" s="0" t="n">
        <v>235.03</v>
      </c>
    </row>
    <row r="33" customFormat="false" ht="15" hidden="false" customHeight="false" outlineLevel="0" collapsed="false">
      <c r="A33" s="0" t="n">
        <v>81</v>
      </c>
      <c r="B33" s="0" t="s">
        <v>189</v>
      </c>
      <c r="C33" s="0" t="s">
        <v>190</v>
      </c>
      <c r="D33" s="0" t="s">
        <v>191</v>
      </c>
      <c r="E33" s="0" t="s">
        <v>178</v>
      </c>
      <c r="F33" s="0" t="s">
        <v>192</v>
      </c>
      <c r="G33" s="0" t="s">
        <v>35</v>
      </c>
      <c r="H33" s="0" t="s">
        <v>193</v>
      </c>
      <c r="I33" s="0" t="n">
        <v>1</v>
      </c>
      <c r="J33" s="0" t="n">
        <v>1681.35</v>
      </c>
      <c r="K33" s="0" t="n">
        <v>1128.75</v>
      </c>
    </row>
    <row r="34" customFormat="false" ht="15" hidden="false" customHeight="false" outlineLevel="0" collapsed="false">
      <c r="A34" s="0" t="n">
        <v>131</v>
      </c>
      <c r="B34" s="0" t="s">
        <v>194</v>
      </c>
      <c r="C34" s="0" t="s">
        <v>190</v>
      </c>
      <c r="D34" s="0" t="s">
        <v>195</v>
      </c>
      <c r="E34" s="0" t="s">
        <v>196</v>
      </c>
      <c r="F34" s="0" t="s">
        <v>77</v>
      </c>
      <c r="G34" s="0" t="s">
        <v>35</v>
      </c>
      <c r="H34" s="0" t="s">
        <v>197</v>
      </c>
      <c r="I34" s="0" t="n">
        <v>2</v>
      </c>
      <c r="J34" s="0" t="n">
        <v>2863.79</v>
      </c>
      <c r="K34" s="0" t="n">
        <v>1881.16</v>
      </c>
    </row>
    <row r="35" customFormat="false" ht="15" hidden="false" customHeight="false" outlineLevel="0" collapsed="false">
      <c r="A35" s="0" t="n">
        <v>104</v>
      </c>
      <c r="B35" s="0" t="s">
        <v>198</v>
      </c>
      <c r="C35" s="0" t="s">
        <v>199</v>
      </c>
      <c r="D35" s="0" t="s">
        <v>200</v>
      </c>
      <c r="E35" s="0" t="s">
        <v>65</v>
      </c>
      <c r="F35" s="0" t="s">
        <v>201</v>
      </c>
      <c r="G35" s="0" t="s">
        <v>35</v>
      </c>
      <c r="H35" s="0" t="s">
        <v>202</v>
      </c>
      <c r="I35" s="0" t="n">
        <v>1</v>
      </c>
      <c r="J35" s="0" t="n">
        <v>835.92</v>
      </c>
      <c r="K35" s="0" t="n">
        <v>599.37</v>
      </c>
    </row>
    <row r="36" customFormat="false" ht="15" hidden="false" customHeight="false" outlineLevel="0" collapsed="false">
      <c r="A36" s="0" t="n">
        <v>108</v>
      </c>
      <c r="B36" s="0" t="s">
        <v>203</v>
      </c>
      <c r="C36" s="0" t="s">
        <v>204</v>
      </c>
      <c r="D36" s="0" t="s">
        <v>205</v>
      </c>
      <c r="E36" s="0" t="s">
        <v>206</v>
      </c>
      <c r="F36" s="0" t="s">
        <v>207</v>
      </c>
      <c r="G36" s="0" t="s">
        <v>54</v>
      </c>
      <c r="H36" s="0" t="s">
        <v>208</v>
      </c>
      <c r="I36" s="0" t="n">
        <v>1</v>
      </c>
      <c r="J36" s="0" t="n">
        <v>4341.37</v>
      </c>
      <c r="K36" s="0" t="n">
        <v>3149.64</v>
      </c>
    </row>
    <row r="37" customFormat="false" ht="15" hidden="false" customHeight="false" outlineLevel="0" collapsed="false">
      <c r="A37" s="0" t="n">
        <v>314</v>
      </c>
      <c r="B37" s="0" t="s">
        <v>209</v>
      </c>
      <c r="C37" s="0" t="s">
        <v>166</v>
      </c>
      <c r="D37" s="0" t="s">
        <v>210</v>
      </c>
      <c r="E37" s="0" t="s">
        <v>211</v>
      </c>
      <c r="F37" s="0" t="s">
        <v>212</v>
      </c>
      <c r="G37" s="0" t="s">
        <v>54</v>
      </c>
      <c r="H37" s="0" t="s">
        <v>213</v>
      </c>
      <c r="I37" s="0" t="n">
        <v>1</v>
      </c>
      <c r="J37" s="0" t="n">
        <v>7573.14</v>
      </c>
      <c r="K37" s="0" t="n">
        <v>4518.26</v>
      </c>
    </row>
    <row r="38" customFormat="false" ht="15" hidden="false" customHeight="false" outlineLevel="0" collapsed="false">
      <c r="A38" s="0" t="n">
        <v>291</v>
      </c>
      <c r="B38" s="0" t="s">
        <v>214</v>
      </c>
      <c r="C38" s="0" t="s">
        <v>215</v>
      </c>
      <c r="D38" s="0" t="s">
        <v>216</v>
      </c>
      <c r="E38" s="0" t="s">
        <v>217</v>
      </c>
      <c r="F38" s="0" t="s">
        <v>133</v>
      </c>
      <c r="G38" s="0" t="s">
        <v>35</v>
      </c>
      <c r="H38" s="0" t="s">
        <v>218</v>
      </c>
      <c r="I38" s="0" t="n">
        <v>1</v>
      </c>
      <c r="J38" s="0" t="n">
        <v>5848.44</v>
      </c>
      <c r="K38" s="0" t="n">
        <v>3515.2</v>
      </c>
    </row>
    <row r="39" customFormat="false" ht="15" hidden="false" customHeight="false" outlineLevel="0" collapsed="false">
      <c r="A39" s="0" t="n">
        <v>202</v>
      </c>
      <c r="B39" s="0" t="s">
        <v>219</v>
      </c>
      <c r="C39" s="0" t="s">
        <v>220</v>
      </c>
      <c r="D39" s="0" t="s">
        <v>221</v>
      </c>
      <c r="E39" s="0" t="s">
        <v>222</v>
      </c>
      <c r="F39" s="0" t="s">
        <v>223</v>
      </c>
      <c r="G39" s="0" t="s">
        <v>54</v>
      </c>
      <c r="H39" s="0" t="s">
        <v>224</v>
      </c>
      <c r="I39" s="0" t="n">
        <v>2</v>
      </c>
      <c r="J39" s="0" t="n">
        <v>2401.72</v>
      </c>
    </row>
    <row r="40" customFormat="false" ht="15" hidden="false" customHeight="false" outlineLevel="0" collapsed="false">
      <c r="A40" s="0" t="n">
        <v>138</v>
      </c>
      <c r="B40" s="0" t="s">
        <v>225</v>
      </c>
      <c r="C40" s="0" t="s">
        <v>226</v>
      </c>
      <c r="D40" s="0" t="s">
        <v>227</v>
      </c>
      <c r="E40" s="0" t="s">
        <v>228</v>
      </c>
      <c r="F40" s="0" t="s">
        <v>212</v>
      </c>
      <c r="G40" s="0" t="s">
        <v>35</v>
      </c>
      <c r="H40" s="0" t="s">
        <v>229</v>
      </c>
      <c r="I40" s="0" t="n">
        <v>1</v>
      </c>
      <c r="J40" s="0" t="n">
        <v>195.09</v>
      </c>
      <c r="K40" s="0" t="n">
        <v>130</v>
      </c>
    </row>
    <row r="41" customFormat="false" ht="15" hidden="false" customHeight="false" outlineLevel="0" collapsed="false">
      <c r="A41" s="0" t="n">
        <v>189</v>
      </c>
      <c r="B41" s="0" t="s">
        <v>230</v>
      </c>
      <c r="C41" s="0" t="s">
        <v>31</v>
      </c>
      <c r="D41" s="0" t="s">
        <v>231</v>
      </c>
      <c r="E41" s="0" t="s">
        <v>232</v>
      </c>
      <c r="F41" s="0" t="s">
        <v>53</v>
      </c>
      <c r="G41" s="0" t="s">
        <v>35</v>
      </c>
      <c r="H41" s="0" t="s">
        <v>233</v>
      </c>
      <c r="I41" s="0" t="n">
        <v>2</v>
      </c>
      <c r="J41" s="0" t="n">
        <v>438.44</v>
      </c>
      <c r="K41" s="0" t="n">
        <v>341.75</v>
      </c>
    </row>
    <row r="42" customFormat="false" ht="15" hidden="false" customHeight="false" outlineLevel="0" collapsed="false">
      <c r="A42" s="0" t="n">
        <v>102</v>
      </c>
      <c r="B42" s="0" t="s">
        <v>234</v>
      </c>
      <c r="C42" s="0" t="s">
        <v>235</v>
      </c>
      <c r="D42" s="0" t="s">
        <v>236</v>
      </c>
      <c r="E42" s="0" t="s">
        <v>237</v>
      </c>
      <c r="F42" s="0" t="s">
        <v>238</v>
      </c>
      <c r="G42" s="0" t="s">
        <v>35</v>
      </c>
      <c r="H42" s="0" t="s">
        <v>36</v>
      </c>
      <c r="I42" s="0" t="n">
        <v>1</v>
      </c>
      <c r="J42" s="0" t="n">
        <v>1313.75</v>
      </c>
      <c r="K42" s="0" t="n">
        <v>1024.54</v>
      </c>
    </row>
    <row r="43" customFormat="false" ht="15" hidden="false" customHeight="false" outlineLevel="0" collapsed="false">
      <c r="A43" s="0" t="n">
        <v>242</v>
      </c>
      <c r="B43" s="0" t="s">
        <v>239</v>
      </c>
      <c r="C43" s="0" t="s">
        <v>240</v>
      </c>
      <c r="D43" s="0" t="s">
        <v>241</v>
      </c>
      <c r="E43" s="0" t="s">
        <v>242</v>
      </c>
      <c r="F43" s="0" t="s">
        <v>243</v>
      </c>
      <c r="G43" s="0" t="s">
        <v>54</v>
      </c>
      <c r="H43" s="0" t="s">
        <v>244</v>
      </c>
      <c r="I43" s="0" t="n">
        <v>1</v>
      </c>
      <c r="J43" s="0" t="n">
        <v>5355.42</v>
      </c>
      <c r="K43" s="0" t="n">
        <v>3164.62</v>
      </c>
    </row>
    <row r="44" customFormat="false" ht="15" hidden="false" customHeight="false" outlineLevel="0" collapsed="false">
      <c r="A44" s="0" t="n">
        <v>270</v>
      </c>
      <c r="B44" s="0" t="s">
        <v>245</v>
      </c>
      <c r="C44" s="0" t="s">
        <v>89</v>
      </c>
      <c r="D44" s="0" t="s">
        <v>246</v>
      </c>
      <c r="E44" s="0" t="s">
        <v>247</v>
      </c>
      <c r="F44" s="0" t="s">
        <v>223</v>
      </c>
      <c r="G44" s="0" t="s">
        <v>35</v>
      </c>
      <c r="H44" s="0" t="s">
        <v>248</v>
      </c>
      <c r="I44" s="0" t="n">
        <v>1</v>
      </c>
      <c r="J44" s="0" t="n">
        <v>3725.56</v>
      </c>
      <c r="K44" s="0" t="n">
        <v>2820.49</v>
      </c>
    </row>
    <row r="45" customFormat="false" ht="15" hidden="false" customHeight="false" outlineLevel="0" collapsed="false">
      <c r="A45" s="0" t="n">
        <v>264</v>
      </c>
      <c r="B45" s="0" t="s">
        <v>249</v>
      </c>
      <c r="C45" s="0" t="s">
        <v>250</v>
      </c>
      <c r="D45" s="0" t="s">
        <v>251</v>
      </c>
      <c r="E45" s="0" t="s">
        <v>252</v>
      </c>
      <c r="F45" s="0" t="s">
        <v>201</v>
      </c>
      <c r="G45" s="0" t="s">
        <v>54</v>
      </c>
      <c r="H45" s="0" t="s">
        <v>253</v>
      </c>
      <c r="I45" s="0" t="n">
        <v>1</v>
      </c>
      <c r="J45" s="0" t="n">
        <v>313.48</v>
      </c>
      <c r="K45" s="0" t="n">
        <v>196.21</v>
      </c>
    </row>
    <row r="46" customFormat="false" ht="15" hidden="false" customHeight="false" outlineLevel="0" collapsed="false">
      <c r="A46" s="0" t="n">
        <v>129</v>
      </c>
      <c r="B46" s="0" t="s">
        <v>254</v>
      </c>
      <c r="C46" s="0" t="s">
        <v>255</v>
      </c>
      <c r="D46" s="0" t="s">
        <v>256</v>
      </c>
      <c r="E46" s="0" t="s">
        <v>257</v>
      </c>
      <c r="F46" s="0" t="s">
        <v>133</v>
      </c>
      <c r="G46" s="0" t="s">
        <v>35</v>
      </c>
      <c r="H46" s="0" t="s">
        <v>258</v>
      </c>
      <c r="I46" s="0" t="n">
        <v>1</v>
      </c>
      <c r="J46" s="0" t="n">
        <v>2257.5</v>
      </c>
      <c r="K46" s="0" t="n">
        <v>1539.58</v>
      </c>
    </row>
    <row r="47" customFormat="false" ht="15" hidden="false" customHeight="false" outlineLevel="0" collapsed="false">
      <c r="A47" s="0" t="n">
        <v>409</v>
      </c>
      <c r="B47" s="0" t="s">
        <v>259</v>
      </c>
      <c r="C47" s="0" t="s">
        <v>79</v>
      </c>
      <c r="D47" s="0" t="s">
        <v>45</v>
      </c>
      <c r="E47" s="0" t="s">
        <v>222</v>
      </c>
      <c r="F47" s="0" t="s">
        <v>149</v>
      </c>
      <c r="G47" s="0" t="s">
        <v>35</v>
      </c>
      <c r="H47" s="0" t="s">
        <v>260</v>
      </c>
      <c r="I47" s="0" t="n">
        <v>1</v>
      </c>
      <c r="J47" s="0" t="n">
        <v>1522.6</v>
      </c>
      <c r="K47" s="0" t="n">
        <v>947.65</v>
      </c>
    </row>
    <row r="48" customFormat="false" ht="15" hidden="false" customHeight="false" outlineLevel="0" collapsed="false">
      <c r="A48" s="0" t="n">
        <v>346</v>
      </c>
      <c r="B48" s="0" t="s">
        <v>261</v>
      </c>
      <c r="C48" s="0" t="s">
        <v>262</v>
      </c>
      <c r="D48" s="0" t="s">
        <v>263</v>
      </c>
      <c r="E48" s="0" t="s">
        <v>264</v>
      </c>
      <c r="F48" s="0" t="s">
        <v>265</v>
      </c>
      <c r="G48" s="0" t="s">
        <v>54</v>
      </c>
      <c r="H48" s="0" t="s">
        <v>266</v>
      </c>
      <c r="I48" s="0" t="n">
        <v>1</v>
      </c>
      <c r="J48" s="0" t="n">
        <v>2354.07</v>
      </c>
      <c r="K48" s="0" t="n">
        <v>1426.96</v>
      </c>
    </row>
    <row r="49" customFormat="false" ht="15" hidden="false" customHeight="false" outlineLevel="0" collapsed="false">
      <c r="A49" s="0" t="n">
        <v>105</v>
      </c>
      <c r="B49" s="0" t="s">
        <v>267</v>
      </c>
      <c r="C49" s="0" t="s">
        <v>268</v>
      </c>
      <c r="D49" s="0" t="s">
        <v>269</v>
      </c>
      <c r="E49" s="0" t="s">
        <v>65</v>
      </c>
      <c r="F49" s="0" t="s">
        <v>179</v>
      </c>
      <c r="G49" s="0" t="s">
        <v>35</v>
      </c>
      <c r="H49" s="0" t="s">
        <v>270</v>
      </c>
      <c r="I49" s="0" t="n">
        <v>1</v>
      </c>
      <c r="J49" s="0" t="n">
        <v>592.3</v>
      </c>
      <c r="K49" s="0" t="n">
        <v>408.35</v>
      </c>
    </row>
    <row r="50" customFormat="false" ht="15" hidden="false" customHeight="false" outlineLevel="0" collapsed="false">
      <c r="A50" s="0" t="n">
        <v>282</v>
      </c>
      <c r="B50" s="0" t="s">
        <v>271</v>
      </c>
      <c r="C50" s="0" t="s">
        <v>272</v>
      </c>
      <c r="D50" s="0" t="s">
        <v>95</v>
      </c>
      <c r="E50" s="0" t="s">
        <v>264</v>
      </c>
      <c r="F50" s="0" t="s">
        <v>163</v>
      </c>
      <c r="G50" s="0" t="s">
        <v>35</v>
      </c>
      <c r="H50" s="0" t="s">
        <v>266</v>
      </c>
      <c r="I50" s="0" t="n">
        <v>1</v>
      </c>
      <c r="J50" s="0" t="n">
        <v>2459.27</v>
      </c>
      <c r="K50" s="0" t="n">
        <v>1532.51</v>
      </c>
    </row>
    <row r="51" customFormat="false" ht="15" hidden="false" customHeight="false" outlineLevel="0" collapsed="false">
      <c r="A51" s="0" t="n">
        <v>165</v>
      </c>
      <c r="B51" s="0" t="s">
        <v>273</v>
      </c>
      <c r="C51" s="0" t="s">
        <v>274</v>
      </c>
      <c r="D51" s="0" t="s">
        <v>275</v>
      </c>
      <c r="E51" s="0" t="s">
        <v>276</v>
      </c>
      <c r="F51" s="0" t="s">
        <v>277</v>
      </c>
      <c r="G51" s="0" t="s">
        <v>35</v>
      </c>
      <c r="H51" s="0" t="s">
        <v>278</v>
      </c>
      <c r="I51" s="0" t="n">
        <v>1</v>
      </c>
      <c r="J51" s="0" t="n">
        <v>257.41</v>
      </c>
      <c r="K51" s="0" t="n">
        <v>160.38</v>
      </c>
    </row>
    <row r="52" customFormat="false" ht="15" hidden="false" customHeight="false" outlineLevel="0" collapsed="false">
      <c r="A52" s="0" t="n">
        <v>74</v>
      </c>
      <c r="B52" s="0" t="s">
        <v>279</v>
      </c>
      <c r="C52" s="0" t="s">
        <v>280</v>
      </c>
      <c r="D52" s="0" t="s">
        <v>216</v>
      </c>
      <c r="E52" s="0" t="s">
        <v>281</v>
      </c>
      <c r="F52" s="0" t="s">
        <v>282</v>
      </c>
      <c r="G52" s="0" t="s">
        <v>54</v>
      </c>
      <c r="H52" s="0" t="s">
        <v>87</v>
      </c>
      <c r="I52" s="0" t="n">
        <v>2</v>
      </c>
      <c r="J52" s="0" t="n">
        <v>7076.66</v>
      </c>
      <c r="K52" s="0" t="n">
        <v>4570.34</v>
      </c>
    </row>
    <row r="53" customFormat="false" ht="15" hidden="false" customHeight="false" outlineLevel="0" collapsed="false">
      <c r="A53" s="0" t="n">
        <v>145</v>
      </c>
      <c r="B53" s="0" t="s">
        <v>283</v>
      </c>
      <c r="C53" s="0" t="s">
        <v>284</v>
      </c>
      <c r="D53" s="0" t="s">
        <v>285</v>
      </c>
      <c r="E53" s="0" t="s">
        <v>286</v>
      </c>
      <c r="F53" s="0" t="s">
        <v>287</v>
      </c>
      <c r="G53" s="0" t="s">
        <v>54</v>
      </c>
      <c r="H53" s="0" t="s">
        <v>288</v>
      </c>
      <c r="I53" s="0" t="n">
        <v>1</v>
      </c>
      <c r="J53" s="0" t="n">
        <v>843.16</v>
      </c>
      <c r="K53" s="0" t="n">
        <v>470.56</v>
      </c>
    </row>
    <row r="54" customFormat="false" ht="15" hidden="false" customHeight="false" outlineLevel="0" collapsed="false">
      <c r="A54" s="0" t="n">
        <v>340</v>
      </c>
      <c r="B54" s="0" t="s">
        <v>289</v>
      </c>
      <c r="C54" s="0" t="s">
        <v>186</v>
      </c>
      <c r="D54" s="0" t="s">
        <v>290</v>
      </c>
      <c r="E54" s="0" t="s">
        <v>107</v>
      </c>
      <c r="F54" s="0" t="s">
        <v>60</v>
      </c>
      <c r="G54" s="0" t="s">
        <v>35</v>
      </c>
      <c r="H54" s="0" t="s">
        <v>291</v>
      </c>
      <c r="I54" s="0" t="n">
        <v>2</v>
      </c>
      <c r="J54" s="0" t="n">
        <v>637.18</v>
      </c>
      <c r="K54" s="0" t="n">
        <v>496.74</v>
      </c>
    </row>
    <row r="55" customFormat="false" ht="15" hidden="false" customHeight="false" outlineLevel="0" collapsed="false">
      <c r="A55" s="0" t="n">
        <v>67</v>
      </c>
      <c r="B55" s="0" t="s">
        <v>292</v>
      </c>
      <c r="C55" s="0" t="s">
        <v>111</v>
      </c>
      <c r="D55" s="0" t="s">
        <v>80</v>
      </c>
      <c r="E55" s="0" t="s">
        <v>293</v>
      </c>
      <c r="F55" s="0" t="s">
        <v>149</v>
      </c>
      <c r="G55" s="0" t="s">
        <v>35</v>
      </c>
      <c r="H55" s="0" t="s">
        <v>294</v>
      </c>
      <c r="I55" s="0" t="n">
        <v>1</v>
      </c>
      <c r="J55" s="0" t="n">
        <v>455.87</v>
      </c>
      <c r="K55" s="0" t="n">
        <v>309.66</v>
      </c>
    </row>
    <row r="56" customFormat="false" ht="15" hidden="false" customHeight="false" outlineLevel="0" collapsed="false">
      <c r="A56" s="0" t="n">
        <v>280</v>
      </c>
      <c r="B56" s="0" t="s">
        <v>295</v>
      </c>
      <c r="C56" s="0" t="s">
        <v>296</v>
      </c>
      <c r="D56" s="0" t="s">
        <v>297</v>
      </c>
      <c r="E56" s="0" t="s">
        <v>298</v>
      </c>
      <c r="F56" s="0" t="s">
        <v>299</v>
      </c>
      <c r="G56" s="0" t="s">
        <v>35</v>
      </c>
      <c r="H56" s="0" t="s">
        <v>300</v>
      </c>
      <c r="I56" s="0" t="n">
        <v>1</v>
      </c>
      <c r="J56" s="0" t="n">
        <v>1003.9</v>
      </c>
      <c r="K56" s="0" t="n">
        <v>773.65</v>
      </c>
      <c r="L56" s="0" t="s">
        <v>301</v>
      </c>
    </row>
    <row r="57" customFormat="false" ht="15" hidden="false" customHeight="false" outlineLevel="0" collapsed="false">
      <c r="A57" s="0" t="n">
        <v>308</v>
      </c>
      <c r="B57" s="0" t="s">
        <v>302</v>
      </c>
      <c r="C57" s="0" t="s">
        <v>250</v>
      </c>
      <c r="D57" s="0" t="s">
        <v>303</v>
      </c>
      <c r="E57" s="0" t="s">
        <v>101</v>
      </c>
      <c r="F57" s="0" t="s">
        <v>92</v>
      </c>
      <c r="G57" s="0" t="s">
        <v>35</v>
      </c>
      <c r="H57" s="0" t="s">
        <v>304</v>
      </c>
      <c r="I57" s="0" t="n">
        <v>1</v>
      </c>
      <c r="J57" s="0" t="n">
        <v>58.93</v>
      </c>
      <c r="K57" s="0" t="n">
        <v>35.42</v>
      </c>
    </row>
    <row r="58" customFormat="false" ht="15" hidden="false" customHeight="false" outlineLevel="0" collapsed="false">
      <c r="A58" s="0" t="n">
        <v>272</v>
      </c>
      <c r="B58" s="0" t="s">
        <v>305</v>
      </c>
      <c r="C58" s="0" t="s">
        <v>306</v>
      </c>
      <c r="D58" s="0" t="s">
        <v>307</v>
      </c>
      <c r="E58" s="0" t="s">
        <v>247</v>
      </c>
      <c r="F58" s="0" t="s">
        <v>238</v>
      </c>
      <c r="G58" s="0" t="s">
        <v>35</v>
      </c>
      <c r="H58" s="0" t="s">
        <v>308</v>
      </c>
      <c r="I58" s="0" t="n">
        <v>1</v>
      </c>
      <c r="J58" s="0" t="n">
        <v>2410.07</v>
      </c>
      <c r="K58" s="0" t="n">
        <v>1616.37</v>
      </c>
    </row>
    <row r="59" customFormat="false" ht="15" hidden="false" customHeight="false" outlineLevel="0" collapsed="false">
      <c r="A59" s="0" t="n">
        <v>75</v>
      </c>
      <c r="B59" s="0" t="s">
        <v>279</v>
      </c>
      <c r="C59" s="0" t="s">
        <v>309</v>
      </c>
      <c r="D59" s="0" t="s">
        <v>310</v>
      </c>
      <c r="E59" s="0" t="s">
        <v>311</v>
      </c>
      <c r="F59" s="0" t="s">
        <v>201</v>
      </c>
      <c r="G59" s="0" t="s">
        <v>35</v>
      </c>
      <c r="H59" s="0" t="s">
        <v>202</v>
      </c>
      <c r="I59" s="0" t="n">
        <v>1</v>
      </c>
      <c r="J59" s="0" t="n">
        <v>223.34</v>
      </c>
      <c r="K59" s="0" t="n">
        <v>146.67</v>
      </c>
      <c r="L59" s="0" t="s">
        <v>301</v>
      </c>
    </row>
    <row r="60" customFormat="false" ht="15" hidden="false" customHeight="false" outlineLevel="0" collapsed="false">
      <c r="A60" s="0" t="n">
        <v>68</v>
      </c>
      <c r="B60" s="0" t="s">
        <v>312</v>
      </c>
      <c r="C60" s="0" t="s">
        <v>313</v>
      </c>
      <c r="D60" s="0" t="s">
        <v>314</v>
      </c>
      <c r="E60" s="0" t="s">
        <v>315</v>
      </c>
      <c r="F60" s="0" t="s">
        <v>34</v>
      </c>
      <c r="G60" s="0" t="s">
        <v>35</v>
      </c>
      <c r="H60" s="0" t="s">
        <v>316</v>
      </c>
      <c r="I60" s="0" t="n">
        <v>1</v>
      </c>
      <c r="J60" s="0" t="n">
        <v>2966.72</v>
      </c>
      <c r="K60" s="0" t="n">
        <v>1939.25</v>
      </c>
    </row>
    <row r="61" customFormat="false" ht="15" hidden="false" customHeight="false" outlineLevel="0" collapsed="false">
      <c r="A61" s="0" t="n">
        <v>117</v>
      </c>
      <c r="B61" s="0" t="s">
        <v>317</v>
      </c>
      <c r="C61" s="0" t="s">
        <v>318</v>
      </c>
      <c r="D61" s="0" t="s">
        <v>263</v>
      </c>
      <c r="E61" s="0" t="s">
        <v>71</v>
      </c>
      <c r="F61" s="0" t="s">
        <v>66</v>
      </c>
      <c r="G61" s="0" t="s">
        <v>54</v>
      </c>
      <c r="H61" s="0" t="s">
        <v>300</v>
      </c>
      <c r="I61" s="0" t="n">
        <v>1</v>
      </c>
      <c r="J61" s="0" t="n">
        <v>1218.06</v>
      </c>
      <c r="K61" s="0" t="n">
        <v>942.83</v>
      </c>
    </row>
    <row r="62" customFormat="false" ht="15" hidden="false" customHeight="false" outlineLevel="0" collapsed="false">
      <c r="A62" s="0" t="n">
        <v>210</v>
      </c>
      <c r="B62" s="0" t="s">
        <v>319</v>
      </c>
      <c r="C62" s="0" t="s">
        <v>166</v>
      </c>
      <c r="D62" s="0" t="s">
        <v>320</v>
      </c>
      <c r="E62" s="0" t="s">
        <v>321</v>
      </c>
      <c r="F62" s="0" t="s">
        <v>322</v>
      </c>
      <c r="G62" s="0" t="s">
        <v>35</v>
      </c>
      <c r="H62" s="0" t="s">
        <v>323</v>
      </c>
      <c r="I62" s="0" t="n">
        <v>1</v>
      </c>
      <c r="J62" s="0" t="n">
        <v>3273.97</v>
      </c>
      <c r="K62" s="0" t="n">
        <v>1868.58</v>
      </c>
    </row>
    <row r="63" customFormat="false" ht="15" hidden="false" customHeight="false" outlineLevel="0" collapsed="false">
      <c r="A63" s="0" t="n">
        <v>391</v>
      </c>
      <c r="B63" s="0" t="s">
        <v>98</v>
      </c>
      <c r="C63" s="0" t="s">
        <v>130</v>
      </c>
      <c r="D63" s="0" t="s">
        <v>324</v>
      </c>
      <c r="E63" s="0" t="s">
        <v>142</v>
      </c>
      <c r="F63" s="0" t="s">
        <v>47</v>
      </c>
      <c r="G63" s="0" t="s">
        <v>35</v>
      </c>
      <c r="H63" s="0" t="s">
        <v>325</v>
      </c>
      <c r="I63" s="0" t="n">
        <v>1</v>
      </c>
      <c r="J63" s="0" t="n">
        <v>848.07</v>
      </c>
      <c r="K63" s="0" t="n">
        <v>487.37</v>
      </c>
    </row>
    <row r="64" customFormat="false" ht="15" hidden="false" customHeight="false" outlineLevel="0" collapsed="false">
      <c r="A64" s="0" t="n">
        <v>267</v>
      </c>
      <c r="B64" s="0" t="s">
        <v>326</v>
      </c>
      <c r="C64" s="0" t="s">
        <v>327</v>
      </c>
      <c r="D64" s="0" t="s">
        <v>210</v>
      </c>
      <c r="E64" s="0" t="s">
        <v>328</v>
      </c>
      <c r="F64" s="0" t="s">
        <v>108</v>
      </c>
      <c r="G64" s="0" t="s">
        <v>35</v>
      </c>
      <c r="H64" s="0" t="s">
        <v>329</v>
      </c>
      <c r="I64" s="0" t="n">
        <v>2</v>
      </c>
      <c r="J64" s="0" t="n">
        <v>2580.76</v>
      </c>
      <c r="K64" s="0" t="n">
        <v>1927.84</v>
      </c>
    </row>
    <row r="65" customFormat="false" ht="15" hidden="false" customHeight="false" outlineLevel="0" collapsed="false">
      <c r="A65" s="0" t="n">
        <v>60</v>
      </c>
      <c r="B65" s="0" t="s">
        <v>330</v>
      </c>
      <c r="C65" s="0" t="s">
        <v>327</v>
      </c>
      <c r="D65" s="0" t="s">
        <v>331</v>
      </c>
      <c r="E65" s="0" t="s">
        <v>332</v>
      </c>
      <c r="F65" s="0" t="s">
        <v>333</v>
      </c>
      <c r="G65" s="0" t="s">
        <v>35</v>
      </c>
      <c r="H65" s="0" t="s">
        <v>334</v>
      </c>
      <c r="I65" s="0" t="n">
        <v>1</v>
      </c>
      <c r="J65" s="0" t="n">
        <v>178.96</v>
      </c>
      <c r="K65" s="0" t="n">
        <v>101.87</v>
      </c>
    </row>
    <row r="66" customFormat="false" ht="15" hidden="false" customHeight="false" outlineLevel="0" collapsed="false">
      <c r="A66" s="0" t="n">
        <v>402</v>
      </c>
      <c r="B66" s="0" t="s">
        <v>335</v>
      </c>
      <c r="C66" s="0" t="s">
        <v>89</v>
      </c>
      <c r="D66" s="0" t="s">
        <v>336</v>
      </c>
      <c r="E66" s="0" t="s">
        <v>337</v>
      </c>
      <c r="F66" s="0" t="s">
        <v>265</v>
      </c>
      <c r="G66" s="0" t="s">
        <v>35</v>
      </c>
      <c r="H66" s="0" t="s">
        <v>338</v>
      </c>
      <c r="I66" s="0" t="n">
        <v>1</v>
      </c>
      <c r="J66" s="0" t="n">
        <v>1843.6</v>
      </c>
      <c r="K66" s="0" t="n">
        <v>1248.65</v>
      </c>
    </row>
    <row r="67" customFormat="false" ht="15" hidden="false" customHeight="false" outlineLevel="0" collapsed="false">
      <c r="A67" s="0" t="n">
        <v>358</v>
      </c>
      <c r="B67" s="0" t="s">
        <v>339</v>
      </c>
      <c r="C67" s="0" t="s">
        <v>340</v>
      </c>
      <c r="D67" s="0" t="s">
        <v>157</v>
      </c>
      <c r="E67" s="0" t="s">
        <v>341</v>
      </c>
      <c r="F67" s="0" t="s">
        <v>342</v>
      </c>
      <c r="G67" s="0" t="s">
        <v>35</v>
      </c>
      <c r="H67" s="0" t="s">
        <v>343</v>
      </c>
      <c r="I67" s="0" t="n">
        <v>2</v>
      </c>
      <c r="J67" s="0" t="n">
        <v>1777.43</v>
      </c>
      <c r="K67" s="0" t="n">
        <v>1124.99</v>
      </c>
    </row>
    <row r="68" customFormat="false" ht="15" hidden="false" customHeight="false" outlineLevel="0" collapsed="false">
      <c r="A68" s="0" t="n">
        <v>125</v>
      </c>
      <c r="B68" s="0" t="s">
        <v>84</v>
      </c>
      <c r="C68" s="0" t="s">
        <v>344</v>
      </c>
      <c r="D68" s="0" t="s">
        <v>236</v>
      </c>
      <c r="E68" s="0" t="s">
        <v>345</v>
      </c>
      <c r="F68" s="0" t="s">
        <v>346</v>
      </c>
      <c r="G68" s="0" t="s">
        <v>35</v>
      </c>
      <c r="H68" s="0" t="s">
        <v>347</v>
      </c>
      <c r="I68" s="0" t="n">
        <v>1</v>
      </c>
      <c r="J68" s="0" t="n">
        <v>3593.1</v>
      </c>
      <c r="K68" s="0" t="n">
        <v>2586.58</v>
      </c>
    </row>
    <row r="69" customFormat="false" ht="15" hidden="false" customHeight="false" outlineLevel="0" collapsed="false">
      <c r="A69" s="0" t="n">
        <v>396</v>
      </c>
      <c r="B69" s="0" t="s">
        <v>348</v>
      </c>
      <c r="C69" s="0" t="s">
        <v>349</v>
      </c>
      <c r="D69" s="0" t="s">
        <v>157</v>
      </c>
      <c r="E69" s="0" t="s">
        <v>350</v>
      </c>
      <c r="F69" s="0" t="s">
        <v>351</v>
      </c>
      <c r="G69" s="0" t="s">
        <v>35</v>
      </c>
      <c r="H69" s="0" t="s">
        <v>352</v>
      </c>
      <c r="I69" s="0" t="n">
        <v>2</v>
      </c>
      <c r="J69" s="0" t="n">
        <v>3580.52</v>
      </c>
      <c r="K69" s="0" t="n">
        <v>2663.56</v>
      </c>
    </row>
    <row r="70" customFormat="false" ht="15" hidden="false" customHeight="false" outlineLevel="0" collapsed="false">
      <c r="A70" s="0" t="n">
        <v>329</v>
      </c>
      <c r="B70" s="0" t="s">
        <v>353</v>
      </c>
      <c r="C70" s="0" t="s">
        <v>152</v>
      </c>
      <c r="D70" s="0" t="s">
        <v>354</v>
      </c>
      <c r="E70" s="0" t="s">
        <v>355</v>
      </c>
      <c r="F70" s="0" t="s">
        <v>356</v>
      </c>
      <c r="G70" s="0" t="s">
        <v>35</v>
      </c>
      <c r="H70" s="0" t="s">
        <v>357</v>
      </c>
      <c r="I70" s="0" t="n">
        <v>1</v>
      </c>
      <c r="J70" s="0" t="n">
        <v>287.45</v>
      </c>
      <c r="K70" s="0" t="n">
        <v>176.38</v>
      </c>
    </row>
    <row r="71" customFormat="false" ht="15" hidden="false" customHeight="false" outlineLevel="0" collapsed="false">
      <c r="A71" s="0" t="n">
        <v>57</v>
      </c>
      <c r="B71" s="0" t="s">
        <v>358</v>
      </c>
      <c r="C71" s="0" t="s">
        <v>359</v>
      </c>
      <c r="D71" s="0" t="s">
        <v>360</v>
      </c>
      <c r="E71" s="0" t="s">
        <v>361</v>
      </c>
      <c r="F71" s="0" t="s">
        <v>362</v>
      </c>
      <c r="G71" s="0" t="s">
        <v>35</v>
      </c>
      <c r="H71" s="0" t="s">
        <v>154</v>
      </c>
      <c r="I71" s="0" t="n">
        <v>1</v>
      </c>
      <c r="J71" s="0" t="n">
        <v>3187.81</v>
      </c>
      <c r="K71" s="0" t="n">
        <v>2350.59</v>
      </c>
    </row>
    <row r="72" customFormat="false" ht="15" hidden="false" customHeight="false" outlineLevel="0" collapsed="false">
      <c r="A72" s="0" t="n">
        <v>106</v>
      </c>
      <c r="B72" s="0" t="s">
        <v>267</v>
      </c>
      <c r="C72" s="0" t="s">
        <v>363</v>
      </c>
      <c r="D72" s="0" t="s">
        <v>364</v>
      </c>
      <c r="E72" s="0" t="s">
        <v>365</v>
      </c>
      <c r="F72" s="0" t="s">
        <v>366</v>
      </c>
      <c r="G72" s="0" t="s">
        <v>35</v>
      </c>
      <c r="H72" s="0" t="s">
        <v>367</v>
      </c>
      <c r="I72" s="0" t="n">
        <v>1</v>
      </c>
      <c r="J72" s="0" t="n">
        <v>2614.99</v>
      </c>
      <c r="K72" s="0" t="n">
        <v>1919.75</v>
      </c>
    </row>
    <row r="73" customFormat="false" ht="15" hidden="false" customHeight="false" outlineLevel="0" collapsed="false">
      <c r="A73" s="0" t="n">
        <v>212</v>
      </c>
      <c r="B73" s="0" t="s">
        <v>368</v>
      </c>
      <c r="C73" s="0" t="s">
        <v>369</v>
      </c>
      <c r="D73" s="0" t="s">
        <v>370</v>
      </c>
      <c r="E73" s="0" t="s">
        <v>371</v>
      </c>
      <c r="F73" s="0" t="s">
        <v>356</v>
      </c>
      <c r="G73" s="0" t="s">
        <v>54</v>
      </c>
      <c r="H73" s="0" t="s">
        <v>372</v>
      </c>
      <c r="I73" s="0" t="n">
        <v>2</v>
      </c>
      <c r="J73" s="0" t="n">
        <v>222.44</v>
      </c>
      <c r="K73" s="0" t="n">
        <v>136.91</v>
      </c>
      <c r="L73" s="0" t="s">
        <v>301</v>
      </c>
    </row>
    <row r="74" customFormat="false" ht="15" hidden="false" customHeight="false" outlineLevel="0" collapsed="false">
      <c r="A74" s="0" t="n">
        <v>25</v>
      </c>
      <c r="B74" s="0" t="s">
        <v>373</v>
      </c>
      <c r="C74" s="0" t="s">
        <v>374</v>
      </c>
      <c r="D74" s="0" t="s">
        <v>375</v>
      </c>
      <c r="E74" s="0" t="s">
        <v>178</v>
      </c>
      <c r="F74" s="0" t="s">
        <v>376</v>
      </c>
      <c r="G74" s="0" t="s">
        <v>35</v>
      </c>
      <c r="H74" s="0" t="s">
        <v>377</v>
      </c>
      <c r="I74" s="0" t="n">
        <v>1</v>
      </c>
      <c r="J74" s="0" t="n">
        <v>2205.13</v>
      </c>
    </row>
    <row r="75" customFormat="false" ht="15" hidden="false" customHeight="false" outlineLevel="0" collapsed="false">
      <c r="A75" s="0" t="n">
        <v>289</v>
      </c>
      <c r="B75" s="0" t="s">
        <v>378</v>
      </c>
      <c r="C75" s="0" t="s">
        <v>176</v>
      </c>
      <c r="D75" s="0" t="s">
        <v>331</v>
      </c>
      <c r="E75" s="0" t="s">
        <v>332</v>
      </c>
      <c r="F75" s="0" t="s">
        <v>207</v>
      </c>
      <c r="G75" s="0" t="s">
        <v>35</v>
      </c>
      <c r="H75" s="0" t="s">
        <v>229</v>
      </c>
      <c r="I75" s="0" t="n">
        <v>1</v>
      </c>
      <c r="J75" s="0" t="n">
        <v>305.43</v>
      </c>
      <c r="K75" s="0" t="n">
        <v>226.8</v>
      </c>
    </row>
    <row r="76" customFormat="false" ht="15" hidden="false" customHeight="false" outlineLevel="0" collapsed="false">
      <c r="A76" s="0" t="n">
        <v>32</v>
      </c>
      <c r="B76" s="0" t="s">
        <v>379</v>
      </c>
      <c r="C76" s="0" t="s">
        <v>380</v>
      </c>
      <c r="D76" s="0" t="s">
        <v>231</v>
      </c>
      <c r="E76" s="0" t="s">
        <v>311</v>
      </c>
      <c r="F76" s="0" t="s">
        <v>265</v>
      </c>
      <c r="G76" s="0" t="s">
        <v>35</v>
      </c>
      <c r="H76" s="0" t="s">
        <v>381</v>
      </c>
      <c r="I76" s="0" t="n">
        <v>2</v>
      </c>
      <c r="J76" s="0" t="n">
        <v>571.53</v>
      </c>
      <c r="K76" s="0" t="n">
        <v>379.29</v>
      </c>
    </row>
    <row r="77" customFormat="false" ht="15" hidden="false" customHeight="false" outlineLevel="0" collapsed="false">
      <c r="A77" s="0" t="n">
        <v>89</v>
      </c>
      <c r="B77" s="0" t="s">
        <v>382</v>
      </c>
      <c r="C77" s="0" t="s">
        <v>186</v>
      </c>
      <c r="D77" s="0" t="s">
        <v>383</v>
      </c>
      <c r="E77" s="0" t="s">
        <v>384</v>
      </c>
      <c r="F77" s="0" t="s">
        <v>47</v>
      </c>
      <c r="G77" s="0" t="s">
        <v>35</v>
      </c>
      <c r="H77" s="0" t="s">
        <v>93</v>
      </c>
      <c r="I77" s="0" t="n">
        <v>0</v>
      </c>
      <c r="J77" s="0" t="n">
        <v>1712.96</v>
      </c>
      <c r="K77" s="0" t="n">
        <v>1053.72</v>
      </c>
    </row>
    <row r="78" customFormat="false" ht="15" hidden="false" customHeight="false" outlineLevel="0" collapsed="false">
      <c r="A78" s="0" t="n">
        <v>230</v>
      </c>
      <c r="B78" s="0" t="s">
        <v>385</v>
      </c>
      <c r="C78" s="0" t="s">
        <v>386</v>
      </c>
      <c r="D78" s="0" t="s">
        <v>387</v>
      </c>
      <c r="E78" s="0" t="s">
        <v>388</v>
      </c>
      <c r="F78" s="0" t="s">
        <v>66</v>
      </c>
      <c r="G78" s="0" t="s">
        <v>35</v>
      </c>
      <c r="H78" s="0" t="s">
        <v>389</v>
      </c>
      <c r="I78" s="0" t="n">
        <v>1</v>
      </c>
      <c r="J78" s="0" t="n">
        <v>790.62</v>
      </c>
      <c r="K78" s="0" t="n">
        <v>595.9</v>
      </c>
    </row>
    <row r="79" customFormat="false" ht="15" hidden="false" customHeight="false" outlineLevel="0" collapsed="false">
      <c r="A79" s="0" t="n">
        <v>303</v>
      </c>
      <c r="B79" s="0" t="s">
        <v>390</v>
      </c>
      <c r="C79" s="0" t="s">
        <v>391</v>
      </c>
      <c r="D79" s="0" t="s">
        <v>392</v>
      </c>
      <c r="E79" s="0" t="s">
        <v>393</v>
      </c>
      <c r="F79" s="0" t="s">
        <v>299</v>
      </c>
      <c r="G79" s="0" t="s">
        <v>54</v>
      </c>
      <c r="H79" s="0" t="s">
        <v>394</v>
      </c>
      <c r="I79" s="0" t="n">
        <v>1</v>
      </c>
      <c r="J79" s="0" t="n">
        <v>2859.49</v>
      </c>
      <c r="K79" s="0" t="n">
        <v>1955.91</v>
      </c>
    </row>
    <row r="80" customFormat="false" ht="15" hidden="false" customHeight="false" outlineLevel="0" collapsed="false">
      <c r="A80" s="0" t="n">
        <v>299</v>
      </c>
      <c r="B80" s="0" t="s">
        <v>395</v>
      </c>
      <c r="C80" s="0" t="s">
        <v>359</v>
      </c>
      <c r="D80" s="0" t="s">
        <v>275</v>
      </c>
      <c r="E80" s="0" t="s">
        <v>396</v>
      </c>
      <c r="F80" s="0" t="s">
        <v>212</v>
      </c>
      <c r="G80" s="0" t="s">
        <v>35</v>
      </c>
      <c r="H80" s="0" t="s">
        <v>397</v>
      </c>
      <c r="I80" s="0" t="n">
        <v>1</v>
      </c>
      <c r="J80" s="0" t="n">
        <v>866.44</v>
      </c>
      <c r="K80" s="0" t="n">
        <v>673.42</v>
      </c>
      <c r="L80" s="0" t="s">
        <v>301</v>
      </c>
    </row>
    <row r="81" customFormat="false" ht="15" hidden="false" customHeight="false" outlineLevel="0" collapsed="false">
      <c r="A81" s="0" t="n">
        <v>84</v>
      </c>
      <c r="B81" s="0" t="s">
        <v>398</v>
      </c>
      <c r="C81" s="0" t="s">
        <v>399</v>
      </c>
      <c r="D81" s="0" t="s">
        <v>310</v>
      </c>
      <c r="E81" s="0" t="s">
        <v>400</v>
      </c>
      <c r="F81" s="0" t="s">
        <v>108</v>
      </c>
      <c r="G81" s="0" t="s">
        <v>35</v>
      </c>
      <c r="H81" s="0" t="s">
        <v>401</v>
      </c>
      <c r="I81" s="0" t="n">
        <v>1</v>
      </c>
      <c r="J81" s="0" t="n">
        <v>440.27</v>
      </c>
      <c r="K81" s="0" t="n">
        <v>294.63</v>
      </c>
    </row>
    <row r="82" customFormat="false" ht="15" hidden="false" customHeight="false" outlineLevel="0" collapsed="false">
      <c r="A82" s="0" t="n">
        <v>38</v>
      </c>
      <c r="B82" s="0" t="s">
        <v>402</v>
      </c>
      <c r="C82" s="0" t="s">
        <v>403</v>
      </c>
      <c r="D82" s="0" t="s">
        <v>404</v>
      </c>
      <c r="E82" s="0" t="s">
        <v>405</v>
      </c>
      <c r="F82" s="0" t="s">
        <v>212</v>
      </c>
      <c r="G82" s="0" t="s">
        <v>35</v>
      </c>
      <c r="H82" s="0" t="s">
        <v>406</v>
      </c>
      <c r="I82" s="0" t="n">
        <v>1</v>
      </c>
      <c r="J82" s="0" t="n">
        <v>4211.08</v>
      </c>
      <c r="K82" s="0" t="n">
        <v>2922.4</v>
      </c>
    </row>
    <row r="83" customFormat="false" ht="15" hidden="false" customHeight="false" outlineLevel="0" collapsed="false">
      <c r="A83" s="0" t="n">
        <v>387</v>
      </c>
      <c r="B83" s="0" t="s">
        <v>407</v>
      </c>
      <c r="C83" s="0" t="s">
        <v>250</v>
      </c>
      <c r="D83" s="0" t="s">
        <v>75</v>
      </c>
      <c r="E83" s="0" t="s">
        <v>408</v>
      </c>
      <c r="F83" s="0" t="s">
        <v>409</v>
      </c>
      <c r="G83" s="0" t="s">
        <v>35</v>
      </c>
      <c r="H83" s="0" t="s">
        <v>410</v>
      </c>
      <c r="I83" s="0" t="n">
        <v>2</v>
      </c>
      <c r="J83" s="0" t="n">
        <v>167.24</v>
      </c>
      <c r="K83" s="0" t="n">
        <v>115.02</v>
      </c>
    </row>
    <row r="84" customFormat="false" ht="15" hidden="false" customHeight="false" outlineLevel="0" collapsed="false">
      <c r="A84" s="0" t="n">
        <v>389</v>
      </c>
      <c r="B84" s="0" t="s">
        <v>98</v>
      </c>
      <c r="C84" s="0" t="s">
        <v>411</v>
      </c>
      <c r="D84" s="0" t="s">
        <v>412</v>
      </c>
      <c r="E84" s="0" t="s">
        <v>413</v>
      </c>
      <c r="F84" s="0" t="s">
        <v>192</v>
      </c>
      <c r="G84" s="0" t="s">
        <v>35</v>
      </c>
      <c r="H84" s="0" t="s">
        <v>67</v>
      </c>
      <c r="I84" s="0" t="n">
        <v>1</v>
      </c>
      <c r="J84" s="0" t="n">
        <v>4788.89</v>
      </c>
      <c r="K84" s="0" t="n">
        <v>3623.4</v>
      </c>
    </row>
    <row r="85" customFormat="false" ht="15" hidden="false" customHeight="false" outlineLevel="0" collapsed="false">
      <c r="A85" s="0" t="n">
        <v>285</v>
      </c>
      <c r="B85" s="0" t="s">
        <v>414</v>
      </c>
      <c r="C85" s="0" t="s">
        <v>415</v>
      </c>
      <c r="D85" s="0" t="s">
        <v>416</v>
      </c>
      <c r="E85" s="0" t="s">
        <v>96</v>
      </c>
      <c r="F85" s="0" t="s">
        <v>409</v>
      </c>
      <c r="G85" s="0" t="s">
        <v>54</v>
      </c>
      <c r="H85" s="0" t="s">
        <v>417</v>
      </c>
      <c r="I85" s="0" t="n">
        <v>1</v>
      </c>
      <c r="J85" s="0" t="n">
        <v>1523.62</v>
      </c>
      <c r="K85" s="0" t="n">
        <v>907.2</v>
      </c>
    </row>
    <row r="86" customFormat="false" ht="15" hidden="false" customHeight="false" outlineLevel="0" collapsed="false">
      <c r="A86" s="0" t="n">
        <v>228</v>
      </c>
      <c r="B86" s="0" t="s">
        <v>418</v>
      </c>
      <c r="C86" s="0" t="s">
        <v>141</v>
      </c>
      <c r="D86" s="0" t="s">
        <v>122</v>
      </c>
      <c r="E86" s="0" t="s">
        <v>123</v>
      </c>
      <c r="F86" s="0" t="s">
        <v>169</v>
      </c>
      <c r="G86" s="0" t="s">
        <v>35</v>
      </c>
      <c r="H86" s="0" t="s">
        <v>419</v>
      </c>
      <c r="I86" s="0" t="n">
        <v>2</v>
      </c>
      <c r="J86" s="0" t="n">
        <v>2155.12</v>
      </c>
      <c r="K86" s="0" t="n">
        <v>1635.2</v>
      </c>
    </row>
    <row r="87" customFormat="false" ht="15" hidden="false" customHeight="false" outlineLevel="0" collapsed="false">
      <c r="A87" s="0" t="n">
        <v>416</v>
      </c>
      <c r="B87" s="0" t="s">
        <v>420</v>
      </c>
      <c r="C87" s="0" t="s">
        <v>421</v>
      </c>
      <c r="D87" s="0" t="s">
        <v>303</v>
      </c>
      <c r="E87" s="0" t="s">
        <v>422</v>
      </c>
      <c r="F87" s="0" t="s">
        <v>92</v>
      </c>
      <c r="G87" s="0" t="s">
        <v>35</v>
      </c>
      <c r="H87" s="0" t="s">
        <v>423</v>
      </c>
      <c r="I87" s="0" t="n">
        <v>1</v>
      </c>
      <c r="J87" s="0" t="n">
        <v>297.48</v>
      </c>
      <c r="K87" s="0" t="n">
        <v>214.23</v>
      </c>
    </row>
    <row r="88" customFormat="false" ht="15" hidden="false" customHeight="false" outlineLevel="0" collapsed="false">
      <c r="A88" s="0" t="n">
        <v>112</v>
      </c>
      <c r="B88" s="0" t="s">
        <v>424</v>
      </c>
      <c r="C88" s="0" t="s">
        <v>79</v>
      </c>
      <c r="D88" s="0" t="s">
        <v>95</v>
      </c>
      <c r="E88" s="0" t="s">
        <v>425</v>
      </c>
      <c r="F88" s="0" t="s">
        <v>102</v>
      </c>
      <c r="G88" s="0" t="s">
        <v>35</v>
      </c>
      <c r="H88" s="0" t="s">
        <v>426</v>
      </c>
      <c r="I88" s="0" t="n">
        <v>1</v>
      </c>
      <c r="J88" s="0" t="n">
        <v>2174.86</v>
      </c>
    </row>
    <row r="89" customFormat="false" ht="15" hidden="false" customHeight="false" outlineLevel="0" collapsed="false">
      <c r="A89" s="0" t="n">
        <v>180</v>
      </c>
      <c r="B89" s="0" t="s">
        <v>427</v>
      </c>
      <c r="C89" s="0" t="s">
        <v>250</v>
      </c>
      <c r="D89" s="0" t="s">
        <v>428</v>
      </c>
      <c r="E89" s="0" t="s">
        <v>429</v>
      </c>
      <c r="F89" s="0" t="s">
        <v>77</v>
      </c>
      <c r="G89" s="0" t="s">
        <v>35</v>
      </c>
      <c r="H89" s="0" t="s">
        <v>430</v>
      </c>
      <c r="I89" s="0" t="n">
        <v>1</v>
      </c>
      <c r="J89" s="0" t="n">
        <v>4047.12</v>
      </c>
      <c r="K89" s="0" t="n">
        <v>2698.94</v>
      </c>
    </row>
    <row r="90" customFormat="false" ht="15" hidden="false" customHeight="false" outlineLevel="0" collapsed="false">
      <c r="A90" s="0" t="n">
        <v>293</v>
      </c>
      <c r="B90" s="0" t="s">
        <v>431</v>
      </c>
      <c r="C90" s="0" t="s">
        <v>369</v>
      </c>
      <c r="D90" s="0" t="s">
        <v>432</v>
      </c>
      <c r="E90" s="0" t="s">
        <v>433</v>
      </c>
      <c r="F90" s="0" t="s">
        <v>333</v>
      </c>
      <c r="G90" s="0" t="s">
        <v>54</v>
      </c>
      <c r="H90" s="0" t="s">
        <v>434</v>
      </c>
      <c r="I90" s="0" t="n">
        <v>1</v>
      </c>
      <c r="J90" s="0" t="n">
        <v>7891.13</v>
      </c>
      <c r="K90" s="0" t="n">
        <v>4439.04</v>
      </c>
    </row>
    <row r="91" customFormat="false" ht="15" hidden="false" customHeight="false" outlineLevel="0" collapsed="false">
      <c r="A91" s="0" t="n">
        <v>400</v>
      </c>
      <c r="B91" s="0" t="s">
        <v>348</v>
      </c>
      <c r="C91" s="0" t="s">
        <v>435</v>
      </c>
      <c r="D91" s="0" t="s">
        <v>404</v>
      </c>
      <c r="E91" s="0" t="s">
        <v>436</v>
      </c>
      <c r="F91" s="0" t="s">
        <v>102</v>
      </c>
      <c r="G91" s="0" t="s">
        <v>54</v>
      </c>
      <c r="H91" s="0" t="s">
        <v>437</v>
      </c>
      <c r="I91" s="0" t="n">
        <v>1</v>
      </c>
      <c r="J91" s="0" t="n">
        <v>2565.97</v>
      </c>
      <c r="K91" s="0" t="n">
        <v>1897.83</v>
      </c>
    </row>
    <row r="92" customFormat="false" ht="15" hidden="false" customHeight="false" outlineLevel="0" collapsed="false">
      <c r="A92" s="0" t="n">
        <v>245</v>
      </c>
      <c r="B92" s="0" t="s">
        <v>438</v>
      </c>
      <c r="C92" s="0" t="s">
        <v>439</v>
      </c>
      <c r="D92" s="0" t="s">
        <v>360</v>
      </c>
      <c r="E92" s="0" t="s">
        <v>440</v>
      </c>
      <c r="F92" s="0" t="s">
        <v>441</v>
      </c>
      <c r="G92" s="0" t="s">
        <v>35</v>
      </c>
      <c r="H92" s="0" t="s">
        <v>442</v>
      </c>
      <c r="I92" s="0" t="n">
        <v>1</v>
      </c>
      <c r="J92" s="0" t="n">
        <v>2332.19</v>
      </c>
      <c r="K92" s="0" t="n">
        <v>1664.12</v>
      </c>
    </row>
    <row r="93" customFormat="false" ht="15" hidden="false" customHeight="false" outlineLevel="0" collapsed="false">
      <c r="A93" s="0" t="n">
        <v>103</v>
      </c>
      <c r="B93" s="0" t="s">
        <v>234</v>
      </c>
      <c r="C93" s="0" t="s">
        <v>152</v>
      </c>
      <c r="D93" s="0" t="s">
        <v>375</v>
      </c>
      <c r="E93" s="0" t="s">
        <v>96</v>
      </c>
      <c r="F93" s="0" t="s">
        <v>376</v>
      </c>
      <c r="G93" s="0" t="s">
        <v>54</v>
      </c>
      <c r="H93" s="0" t="s">
        <v>443</v>
      </c>
      <c r="I93" s="0" t="n">
        <v>1</v>
      </c>
      <c r="J93" s="0" t="n">
        <v>3174.91</v>
      </c>
      <c r="K93" s="0" t="n">
        <v>2352.8</v>
      </c>
    </row>
    <row r="94" customFormat="false" ht="15" hidden="false" customHeight="false" outlineLevel="0" collapsed="false">
      <c r="A94" s="0" t="n">
        <v>409</v>
      </c>
      <c r="B94" s="0" t="s">
        <v>259</v>
      </c>
      <c r="C94" s="0" t="s">
        <v>79</v>
      </c>
      <c r="D94" s="0" t="s">
        <v>45</v>
      </c>
      <c r="E94" s="0" t="s">
        <v>222</v>
      </c>
      <c r="F94" s="0" t="s">
        <v>149</v>
      </c>
      <c r="G94" s="0" t="s">
        <v>35</v>
      </c>
      <c r="H94" s="0" t="s">
        <v>260</v>
      </c>
      <c r="I94" s="0" t="n">
        <v>1</v>
      </c>
      <c r="J94" s="0" t="n">
        <v>1522.6</v>
      </c>
      <c r="K94" s="0" t="n">
        <v>947.65</v>
      </c>
    </row>
    <row r="95" customFormat="false" ht="15" hidden="false" customHeight="false" outlineLevel="0" collapsed="false">
      <c r="A95" s="0" t="n">
        <v>412</v>
      </c>
      <c r="B95" s="0" t="s">
        <v>444</v>
      </c>
      <c r="C95" s="0" t="s">
        <v>445</v>
      </c>
      <c r="D95" s="0" t="s">
        <v>412</v>
      </c>
      <c r="E95" s="0" t="s">
        <v>446</v>
      </c>
      <c r="F95" s="0" t="s">
        <v>277</v>
      </c>
      <c r="G95" s="0" t="s">
        <v>35</v>
      </c>
      <c r="H95" s="0" t="s">
        <v>426</v>
      </c>
      <c r="I95" s="0" t="n">
        <v>1</v>
      </c>
      <c r="J95" s="0" t="n">
        <v>5857.67</v>
      </c>
      <c r="K95" s="0" t="n">
        <v>4418.58</v>
      </c>
    </row>
    <row r="96" customFormat="false" ht="15" hidden="false" customHeight="false" outlineLevel="0" collapsed="false">
      <c r="A96" s="0" t="n">
        <v>113</v>
      </c>
      <c r="B96" s="0" t="s">
        <v>447</v>
      </c>
      <c r="C96" s="0" t="s">
        <v>448</v>
      </c>
      <c r="D96" s="0" t="s">
        <v>449</v>
      </c>
      <c r="E96" s="0" t="s">
        <v>286</v>
      </c>
      <c r="F96" s="0" t="s">
        <v>450</v>
      </c>
      <c r="G96" s="0" t="s">
        <v>35</v>
      </c>
      <c r="H96" s="0" t="s">
        <v>343</v>
      </c>
      <c r="I96" s="0" t="n">
        <v>1</v>
      </c>
      <c r="J96" s="0" t="n">
        <v>663.6</v>
      </c>
      <c r="K96" s="0" t="n">
        <v>437.48</v>
      </c>
    </row>
    <row r="97" customFormat="false" ht="15" hidden="false" customHeight="false" outlineLevel="0" collapsed="false">
      <c r="A97" s="0" t="n">
        <v>397</v>
      </c>
      <c r="B97" s="0" t="s">
        <v>348</v>
      </c>
      <c r="C97" s="0" t="s">
        <v>451</v>
      </c>
      <c r="D97" s="0" t="s">
        <v>387</v>
      </c>
      <c r="E97" s="0" t="s">
        <v>293</v>
      </c>
      <c r="F97" s="0" t="s">
        <v>102</v>
      </c>
      <c r="G97" s="0" t="s">
        <v>35</v>
      </c>
      <c r="H97" s="0" t="s">
        <v>452</v>
      </c>
      <c r="I97" s="0" t="n">
        <v>1</v>
      </c>
      <c r="J97" s="0" t="n">
        <v>140.74</v>
      </c>
      <c r="K97" s="0" t="n">
        <v>90.65</v>
      </c>
    </row>
    <row r="98" customFormat="false" ht="15" hidden="false" customHeight="false" outlineLevel="0" collapsed="false">
      <c r="A98" s="0" t="n">
        <v>350</v>
      </c>
      <c r="B98" s="0" t="s">
        <v>453</v>
      </c>
      <c r="C98" s="0" t="s">
        <v>454</v>
      </c>
      <c r="D98" s="0" t="s">
        <v>455</v>
      </c>
      <c r="E98" s="0" t="s">
        <v>456</v>
      </c>
      <c r="F98" s="0" t="s">
        <v>119</v>
      </c>
      <c r="G98" s="0" t="s">
        <v>54</v>
      </c>
      <c r="H98" s="0" t="s">
        <v>389</v>
      </c>
      <c r="I98" s="0" t="n">
        <v>1</v>
      </c>
      <c r="J98" s="0" t="n">
        <v>739.18</v>
      </c>
      <c r="K98" s="0" t="n">
        <v>543.58</v>
      </c>
    </row>
    <row r="99" customFormat="false" ht="15" hidden="false" customHeight="false" outlineLevel="0" collapsed="false">
      <c r="A99" s="0" t="n">
        <v>176</v>
      </c>
      <c r="B99" s="0" t="s">
        <v>457</v>
      </c>
      <c r="C99" s="0" t="s">
        <v>296</v>
      </c>
      <c r="D99" s="0" t="s">
        <v>458</v>
      </c>
      <c r="E99" s="0" t="s">
        <v>459</v>
      </c>
      <c r="F99" s="0" t="s">
        <v>450</v>
      </c>
      <c r="G99" s="0" t="s">
        <v>54</v>
      </c>
      <c r="H99" s="0" t="s">
        <v>460</v>
      </c>
      <c r="I99" s="0" t="n">
        <v>1</v>
      </c>
      <c r="J99" s="0" t="n">
        <v>5179.13</v>
      </c>
      <c r="K99" s="0" t="n">
        <v>3130.48</v>
      </c>
    </row>
    <row r="100" customFormat="false" ht="15" hidden="false" customHeight="false" outlineLevel="0" collapsed="false">
      <c r="A100" s="0" t="n">
        <v>56</v>
      </c>
      <c r="B100" s="0" t="s">
        <v>461</v>
      </c>
      <c r="C100" s="0" t="s">
        <v>186</v>
      </c>
      <c r="D100" s="0" t="s">
        <v>462</v>
      </c>
      <c r="E100" s="0" t="s">
        <v>196</v>
      </c>
      <c r="F100" s="0" t="s">
        <v>201</v>
      </c>
      <c r="G100" s="0" t="s">
        <v>35</v>
      </c>
      <c r="H100" s="0" t="s">
        <v>463</v>
      </c>
      <c r="I100" s="0" t="n">
        <v>1</v>
      </c>
      <c r="J100" s="0" t="n">
        <v>2764.64</v>
      </c>
      <c r="K100" s="0" t="n">
        <v>1884.56</v>
      </c>
    </row>
    <row r="101" customFormat="false" ht="15" hidden="false" customHeight="false" outlineLevel="0" collapsed="false">
      <c r="A101" s="0" t="n">
        <v>158</v>
      </c>
      <c r="B101" s="0" t="s">
        <v>464</v>
      </c>
      <c r="C101" s="0" t="s">
        <v>465</v>
      </c>
      <c r="D101" s="0" t="s">
        <v>167</v>
      </c>
      <c r="E101" s="0" t="s">
        <v>466</v>
      </c>
      <c r="F101" s="0" t="s">
        <v>102</v>
      </c>
      <c r="G101" s="0" t="s">
        <v>35</v>
      </c>
      <c r="H101" s="0" t="s">
        <v>467</v>
      </c>
      <c r="I101" s="0" t="n">
        <v>1</v>
      </c>
      <c r="J101" s="0" t="n">
        <v>33.53</v>
      </c>
      <c r="K101" s="0" t="n">
        <v>25.41</v>
      </c>
    </row>
    <row r="102" customFormat="false" ht="15" hidden="false" customHeight="false" outlineLevel="0" collapsed="false">
      <c r="A102" s="0" t="n">
        <v>137</v>
      </c>
      <c r="B102" s="0" t="s">
        <v>468</v>
      </c>
      <c r="C102" s="0" t="s">
        <v>465</v>
      </c>
      <c r="D102" s="0" t="s">
        <v>32</v>
      </c>
      <c r="E102" s="0" t="s">
        <v>469</v>
      </c>
      <c r="F102" s="0" t="s">
        <v>243</v>
      </c>
      <c r="G102" s="0" t="s">
        <v>35</v>
      </c>
      <c r="H102" s="0" t="s">
        <v>470</v>
      </c>
      <c r="I102" s="0" t="n">
        <v>1</v>
      </c>
      <c r="J102" s="0" t="n">
        <v>90.26</v>
      </c>
      <c r="K102" s="0" t="n">
        <v>51.94</v>
      </c>
    </row>
    <row r="103" customFormat="false" ht="15" hidden="false" customHeight="false" outlineLevel="0" collapsed="false">
      <c r="A103" s="0" t="n">
        <v>186</v>
      </c>
      <c r="B103" s="0" t="s">
        <v>471</v>
      </c>
      <c r="C103" s="0" t="s">
        <v>296</v>
      </c>
      <c r="D103" s="0" t="s">
        <v>137</v>
      </c>
      <c r="E103" s="0" t="s">
        <v>341</v>
      </c>
      <c r="F103" s="0" t="s">
        <v>282</v>
      </c>
      <c r="G103" s="0" t="s">
        <v>35</v>
      </c>
      <c r="H103" s="0" t="s">
        <v>472</v>
      </c>
      <c r="I103" s="0" t="n">
        <v>2</v>
      </c>
      <c r="J103" s="0" t="n">
        <v>2639.84</v>
      </c>
      <c r="K103" s="0" t="n">
        <v>1473.06</v>
      </c>
    </row>
    <row r="104" customFormat="false" ht="15" hidden="false" customHeight="false" outlineLevel="0" collapsed="false">
      <c r="A104" s="0" t="n">
        <v>304</v>
      </c>
      <c r="B104" s="0" t="s">
        <v>473</v>
      </c>
      <c r="C104" s="0" t="s">
        <v>474</v>
      </c>
      <c r="D104" s="0" t="s">
        <v>122</v>
      </c>
      <c r="E104" s="0" t="s">
        <v>138</v>
      </c>
      <c r="F104" s="0" t="s">
        <v>322</v>
      </c>
      <c r="G104" s="0" t="s">
        <v>35</v>
      </c>
      <c r="H104" s="0" t="s">
        <v>475</v>
      </c>
      <c r="I104" s="0" t="n">
        <v>2</v>
      </c>
      <c r="J104" s="0" t="n">
        <v>4469.86</v>
      </c>
      <c r="K104" s="0" t="n">
        <v>3422.3</v>
      </c>
    </row>
    <row r="105" customFormat="false" ht="15" hidden="false" customHeight="false" outlineLevel="0" collapsed="false">
      <c r="A105" s="0" t="n">
        <v>381</v>
      </c>
      <c r="B105" s="0" t="s">
        <v>476</v>
      </c>
      <c r="C105" s="0" t="s">
        <v>477</v>
      </c>
      <c r="D105" s="0" t="s">
        <v>478</v>
      </c>
      <c r="E105" s="0" t="s">
        <v>479</v>
      </c>
      <c r="F105" s="0" t="s">
        <v>346</v>
      </c>
      <c r="G105" s="0" t="s">
        <v>35</v>
      </c>
      <c r="H105" s="0" t="s">
        <v>480</v>
      </c>
      <c r="I105" s="0" t="n">
        <v>1</v>
      </c>
      <c r="J105" s="0" t="n">
        <v>1695.18</v>
      </c>
      <c r="K105" s="0" t="n">
        <v>969.25</v>
      </c>
    </row>
    <row r="106" customFormat="false" ht="15" hidden="false" customHeight="false" outlineLevel="0" collapsed="false">
      <c r="A106" s="0" t="n">
        <v>135</v>
      </c>
      <c r="B106" s="0" t="s">
        <v>481</v>
      </c>
      <c r="C106" s="0" t="s">
        <v>482</v>
      </c>
      <c r="D106" s="0" t="s">
        <v>205</v>
      </c>
      <c r="E106" s="0" t="s">
        <v>237</v>
      </c>
      <c r="F106" s="0" t="s">
        <v>201</v>
      </c>
      <c r="G106" s="0" t="s">
        <v>35</v>
      </c>
      <c r="H106" s="0" t="s">
        <v>483</v>
      </c>
      <c r="I106" s="0" t="n">
        <v>1</v>
      </c>
      <c r="J106" s="0" t="n">
        <v>2567.37</v>
      </c>
      <c r="K106" s="0" t="n">
        <v>1577.18</v>
      </c>
    </row>
    <row r="107" customFormat="false" ht="15" hidden="false" customHeight="false" outlineLevel="0" collapsed="false">
      <c r="A107" s="0" t="n">
        <v>355</v>
      </c>
      <c r="B107" s="0" t="s">
        <v>484</v>
      </c>
      <c r="C107" s="0" t="s">
        <v>485</v>
      </c>
      <c r="D107" s="0" t="s">
        <v>182</v>
      </c>
      <c r="E107" s="0" t="s">
        <v>486</v>
      </c>
      <c r="F107" s="0" t="s">
        <v>243</v>
      </c>
      <c r="G107" s="0" t="s">
        <v>54</v>
      </c>
      <c r="H107" s="0" t="s">
        <v>487</v>
      </c>
      <c r="I107" s="0" t="n">
        <v>2</v>
      </c>
      <c r="J107" s="0" t="n">
        <v>678.42</v>
      </c>
      <c r="K107" s="0" t="n">
        <v>446.85</v>
      </c>
    </row>
    <row r="108" customFormat="false" ht="15" hidden="false" customHeight="false" outlineLevel="0" collapsed="false">
      <c r="A108" s="0" t="n">
        <v>231</v>
      </c>
      <c r="B108" s="0" t="s">
        <v>385</v>
      </c>
      <c r="C108" s="0" t="s">
        <v>488</v>
      </c>
      <c r="D108" s="0" t="s">
        <v>392</v>
      </c>
      <c r="E108" s="0" t="s">
        <v>489</v>
      </c>
      <c r="F108" s="0" t="s">
        <v>490</v>
      </c>
      <c r="G108" s="0" t="s">
        <v>35</v>
      </c>
      <c r="H108" s="0" t="s">
        <v>491</v>
      </c>
      <c r="I108" s="0" t="n">
        <v>1</v>
      </c>
      <c r="J108" s="0" t="n">
        <v>2415.54</v>
      </c>
      <c r="K108" s="0" t="n">
        <v>1493.48</v>
      </c>
    </row>
    <row r="109" customFormat="false" ht="15" hidden="false" customHeight="false" outlineLevel="0" collapsed="false">
      <c r="A109" s="0" t="n">
        <v>237</v>
      </c>
      <c r="B109" s="0" t="s">
        <v>492</v>
      </c>
      <c r="C109" s="0" t="s">
        <v>493</v>
      </c>
      <c r="D109" s="0" t="s">
        <v>251</v>
      </c>
      <c r="E109" s="0" t="s">
        <v>371</v>
      </c>
      <c r="F109" s="0" t="s">
        <v>223</v>
      </c>
      <c r="G109" s="0" t="s">
        <v>54</v>
      </c>
      <c r="H109" s="0" t="s">
        <v>494</v>
      </c>
      <c r="I109" s="0" t="n">
        <v>1</v>
      </c>
      <c r="J109" s="0" t="n">
        <v>309.95</v>
      </c>
      <c r="K109" s="0" t="n">
        <v>228.9</v>
      </c>
    </row>
    <row r="110" customFormat="false" ht="15" hidden="false" customHeight="false" outlineLevel="0" collapsed="false">
      <c r="A110" s="0" t="n">
        <v>255</v>
      </c>
      <c r="B110" s="0" t="s">
        <v>495</v>
      </c>
      <c r="C110" s="0" t="s">
        <v>296</v>
      </c>
      <c r="D110" s="0" t="s">
        <v>458</v>
      </c>
      <c r="E110" s="0" t="s">
        <v>496</v>
      </c>
      <c r="F110" s="0" t="s">
        <v>119</v>
      </c>
      <c r="G110" s="0" t="s">
        <v>35</v>
      </c>
      <c r="H110" s="0" t="s">
        <v>497</v>
      </c>
      <c r="I110" s="0" t="n">
        <v>1</v>
      </c>
      <c r="J110" s="0" t="n">
        <v>4507.76</v>
      </c>
      <c r="K110" s="0" t="n">
        <v>3383.45</v>
      </c>
    </row>
    <row r="111" customFormat="false" ht="15" hidden="false" customHeight="false" outlineLevel="0" collapsed="false">
      <c r="A111" s="0" t="n">
        <v>365</v>
      </c>
      <c r="B111" s="0" t="s">
        <v>498</v>
      </c>
      <c r="C111" s="0" t="s">
        <v>296</v>
      </c>
      <c r="D111" s="0" t="s">
        <v>157</v>
      </c>
      <c r="E111" s="0" t="s">
        <v>499</v>
      </c>
      <c r="F111" s="0" t="s">
        <v>119</v>
      </c>
      <c r="G111" s="0" t="s">
        <v>35</v>
      </c>
      <c r="H111" s="0" t="s">
        <v>500</v>
      </c>
      <c r="I111" s="0" t="n">
        <v>1</v>
      </c>
      <c r="J111" s="0" t="n">
        <v>2789.82</v>
      </c>
      <c r="K111" s="0" t="n">
        <v>2164.6</v>
      </c>
    </row>
    <row r="112" customFormat="false" ht="15" hidden="false" customHeight="false" outlineLevel="0" collapsed="false">
      <c r="A112" s="0" t="n">
        <v>195</v>
      </c>
      <c r="B112" s="0" t="s">
        <v>501</v>
      </c>
      <c r="C112" s="0" t="s">
        <v>69</v>
      </c>
      <c r="D112" s="0" t="s">
        <v>502</v>
      </c>
      <c r="E112" s="0" t="s">
        <v>503</v>
      </c>
      <c r="F112" s="0" t="s">
        <v>342</v>
      </c>
      <c r="G112" s="0" t="s">
        <v>35</v>
      </c>
      <c r="H112" s="0" t="s">
        <v>504</v>
      </c>
      <c r="I112" s="0" t="n">
        <v>1</v>
      </c>
      <c r="J112" s="0" t="n">
        <v>4247.47</v>
      </c>
      <c r="K112" s="0" t="n">
        <v>2741.38</v>
      </c>
    </row>
    <row r="113" customFormat="false" ht="15" hidden="false" customHeight="false" outlineLevel="0" collapsed="false">
      <c r="A113" s="0" t="n">
        <v>288</v>
      </c>
      <c r="B113" s="0" t="s">
        <v>378</v>
      </c>
      <c r="C113" s="0" t="s">
        <v>204</v>
      </c>
      <c r="D113" s="0" t="s">
        <v>505</v>
      </c>
      <c r="E113" s="0" t="s">
        <v>123</v>
      </c>
      <c r="F113" s="0" t="s">
        <v>506</v>
      </c>
      <c r="G113" s="0" t="s">
        <v>35</v>
      </c>
      <c r="H113" s="0" t="s">
        <v>507</v>
      </c>
      <c r="I113" s="0" t="n">
        <v>2</v>
      </c>
      <c r="J113" s="0" t="n">
        <v>2018.23</v>
      </c>
      <c r="K113" s="0" t="n">
        <v>1480.11</v>
      </c>
    </row>
    <row r="114" customFormat="false" ht="15" hidden="false" customHeight="false" outlineLevel="0" collapsed="false">
      <c r="A114" s="0" t="n">
        <v>190</v>
      </c>
      <c r="B114" s="0" t="s">
        <v>230</v>
      </c>
      <c r="C114" s="0" t="s">
        <v>309</v>
      </c>
      <c r="D114" s="0" t="s">
        <v>290</v>
      </c>
      <c r="E114" s="0" t="s">
        <v>293</v>
      </c>
      <c r="F114" s="0" t="s">
        <v>86</v>
      </c>
      <c r="G114" s="0" t="s">
        <v>35</v>
      </c>
      <c r="H114" s="0" t="s">
        <v>508</v>
      </c>
      <c r="I114" s="0" t="n">
        <v>1</v>
      </c>
      <c r="J114" s="0" t="n">
        <v>409.39</v>
      </c>
      <c r="K114" s="0" t="n">
        <v>311.33</v>
      </c>
      <c r="L114" s="0" t="s">
        <v>301</v>
      </c>
    </row>
    <row r="115" customFormat="false" ht="15" hidden="false" customHeight="false" outlineLevel="0" collapsed="false">
      <c r="A115" s="0" t="n">
        <v>127</v>
      </c>
      <c r="B115" s="0" t="s">
        <v>509</v>
      </c>
      <c r="C115" s="0" t="s">
        <v>510</v>
      </c>
      <c r="D115" s="0" t="s">
        <v>324</v>
      </c>
      <c r="E115" s="0" t="s">
        <v>511</v>
      </c>
      <c r="F115" s="0" t="s">
        <v>512</v>
      </c>
      <c r="G115" s="0" t="s">
        <v>35</v>
      </c>
      <c r="H115" s="0" t="s">
        <v>513</v>
      </c>
      <c r="I115" s="0" t="n">
        <v>1</v>
      </c>
      <c r="J115" s="0" t="n">
        <v>540.69</v>
      </c>
    </row>
    <row r="116" customFormat="false" ht="15" hidden="false" customHeight="false" outlineLevel="0" collapsed="false">
      <c r="A116" s="0" t="n">
        <v>160</v>
      </c>
      <c r="B116" s="0" t="s">
        <v>514</v>
      </c>
      <c r="C116" s="0" t="s">
        <v>250</v>
      </c>
      <c r="D116" s="0" t="s">
        <v>515</v>
      </c>
      <c r="E116" s="0" t="s">
        <v>516</v>
      </c>
      <c r="F116" s="0" t="s">
        <v>82</v>
      </c>
      <c r="G116" s="0" t="s">
        <v>54</v>
      </c>
      <c r="H116" s="0" t="s">
        <v>517</v>
      </c>
      <c r="I116" s="0" t="n">
        <v>2</v>
      </c>
      <c r="J116" s="0" t="n">
        <v>71.32</v>
      </c>
      <c r="K116" s="0" t="n">
        <v>50.99</v>
      </c>
    </row>
    <row r="117" customFormat="false" ht="15" hidden="false" customHeight="false" outlineLevel="0" collapsed="false">
      <c r="A117" s="0" t="n">
        <v>260</v>
      </c>
      <c r="B117" s="0" t="s">
        <v>518</v>
      </c>
      <c r="C117" s="0" t="s">
        <v>485</v>
      </c>
      <c r="D117" s="0" t="s">
        <v>375</v>
      </c>
      <c r="E117" s="0" t="s">
        <v>46</v>
      </c>
      <c r="F117" s="0" t="s">
        <v>519</v>
      </c>
      <c r="G117" s="0" t="s">
        <v>35</v>
      </c>
      <c r="H117" s="0" t="s">
        <v>520</v>
      </c>
      <c r="I117" s="0" t="n">
        <v>1</v>
      </c>
      <c r="J117" s="0" t="n">
        <v>2859.64</v>
      </c>
      <c r="K117" s="0" t="n">
        <v>2171.03</v>
      </c>
    </row>
    <row r="118" customFormat="false" ht="15" hidden="false" customHeight="false" outlineLevel="0" collapsed="false">
      <c r="A118" s="0" t="n">
        <v>83</v>
      </c>
      <c r="B118" s="0" t="s">
        <v>521</v>
      </c>
      <c r="C118" s="0" t="s">
        <v>44</v>
      </c>
      <c r="D118" s="0" t="s">
        <v>51</v>
      </c>
      <c r="E118" s="0" t="s">
        <v>311</v>
      </c>
      <c r="F118" s="0" t="s">
        <v>72</v>
      </c>
      <c r="G118" s="0" t="s">
        <v>35</v>
      </c>
      <c r="H118" s="0" t="s">
        <v>522</v>
      </c>
      <c r="I118" s="0" t="n">
        <v>1</v>
      </c>
      <c r="J118" s="0" t="n">
        <v>229.9</v>
      </c>
    </row>
    <row r="119" customFormat="false" ht="15" hidden="false" customHeight="false" outlineLevel="0" collapsed="false">
      <c r="A119" s="0" t="n">
        <v>140</v>
      </c>
      <c r="B119" s="0" t="s">
        <v>523</v>
      </c>
      <c r="C119" s="0" t="s">
        <v>524</v>
      </c>
      <c r="D119" s="0" t="s">
        <v>505</v>
      </c>
      <c r="E119" s="0" t="s">
        <v>196</v>
      </c>
      <c r="F119" s="0" t="s">
        <v>114</v>
      </c>
      <c r="G119" s="0" t="s">
        <v>35</v>
      </c>
      <c r="H119" s="0" t="s">
        <v>525</v>
      </c>
      <c r="I119" s="0" t="n">
        <v>1</v>
      </c>
      <c r="J119" s="0" t="n">
        <v>4466.42</v>
      </c>
      <c r="K119" s="0" t="n">
        <v>2592.69</v>
      </c>
    </row>
    <row r="120" customFormat="false" ht="15" hidden="false" customHeight="false" outlineLevel="0" collapsed="false">
      <c r="A120" s="0" t="n">
        <v>54</v>
      </c>
      <c r="B120" s="0" t="s">
        <v>526</v>
      </c>
      <c r="C120" s="0" t="s">
        <v>465</v>
      </c>
      <c r="D120" s="0" t="s">
        <v>527</v>
      </c>
      <c r="E120" s="0" t="s">
        <v>528</v>
      </c>
      <c r="F120" s="0" t="s">
        <v>351</v>
      </c>
      <c r="G120" s="0" t="s">
        <v>35</v>
      </c>
      <c r="H120" s="0" t="s">
        <v>529</v>
      </c>
      <c r="I120" s="0" t="n">
        <v>1</v>
      </c>
      <c r="J120" s="0" t="n">
        <v>2854.52</v>
      </c>
      <c r="K120" s="0" t="n">
        <v>1973.59</v>
      </c>
    </row>
    <row r="121" customFormat="false" ht="15" hidden="false" customHeight="false" outlineLevel="0" collapsed="false">
      <c r="A121" s="0" t="n">
        <v>187</v>
      </c>
      <c r="B121" s="0" t="s">
        <v>530</v>
      </c>
      <c r="C121" s="0" t="s">
        <v>186</v>
      </c>
      <c r="D121" s="0" t="s">
        <v>416</v>
      </c>
      <c r="E121" s="0" t="s">
        <v>298</v>
      </c>
      <c r="F121" s="0" t="s">
        <v>159</v>
      </c>
      <c r="G121" s="0" t="s">
        <v>35</v>
      </c>
      <c r="H121" s="0" t="s">
        <v>531</v>
      </c>
      <c r="I121" s="0" t="n">
        <v>1</v>
      </c>
      <c r="J121" s="0" t="n">
        <v>3133.03</v>
      </c>
      <c r="K121" s="0" t="n">
        <v>2009.62</v>
      </c>
    </row>
    <row r="122" customFormat="false" ht="15" hidden="false" customHeight="false" outlineLevel="0" collapsed="false">
      <c r="A122" s="0" t="n">
        <v>85</v>
      </c>
      <c r="B122" s="0" t="s">
        <v>532</v>
      </c>
      <c r="C122" s="0" t="s">
        <v>533</v>
      </c>
      <c r="D122" s="0" t="s">
        <v>534</v>
      </c>
      <c r="E122" s="0" t="s">
        <v>425</v>
      </c>
      <c r="F122" s="0" t="s">
        <v>287</v>
      </c>
      <c r="G122" s="0" t="s">
        <v>54</v>
      </c>
      <c r="H122" s="0" t="s">
        <v>193</v>
      </c>
      <c r="I122" s="0" t="n">
        <v>2</v>
      </c>
      <c r="J122" s="0" t="n">
        <v>2665.62</v>
      </c>
      <c r="K122" s="0" t="n">
        <v>1866.18</v>
      </c>
    </row>
    <row r="123" customFormat="false" ht="15" hidden="false" customHeight="false" outlineLevel="0" collapsed="false">
      <c r="A123" s="0" t="n">
        <v>375</v>
      </c>
      <c r="B123" s="0" t="s">
        <v>535</v>
      </c>
      <c r="C123" s="0" t="s">
        <v>166</v>
      </c>
      <c r="D123" s="0" t="s">
        <v>536</v>
      </c>
      <c r="E123" s="0" t="s">
        <v>537</v>
      </c>
      <c r="F123" s="0" t="s">
        <v>143</v>
      </c>
      <c r="G123" s="0" t="s">
        <v>54</v>
      </c>
      <c r="H123" s="0" t="s">
        <v>323</v>
      </c>
      <c r="I123" s="0" t="n">
        <v>1</v>
      </c>
      <c r="J123" s="0" t="n">
        <v>2276.59</v>
      </c>
      <c r="K123" s="0" t="n">
        <v>1467.99</v>
      </c>
    </row>
    <row r="124" customFormat="false" ht="15" hidden="false" customHeight="false" outlineLevel="0" collapsed="false">
      <c r="A124" s="0" t="n">
        <v>377</v>
      </c>
      <c r="B124" s="0" t="s">
        <v>538</v>
      </c>
      <c r="C124" s="0" t="s">
        <v>539</v>
      </c>
      <c r="D124" s="0" t="s">
        <v>540</v>
      </c>
      <c r="E124" s="0" t="s">
        <v>541</v>
      </c>
      <c r="F124" s="0" t="s">
        <v>207</v>
      </c>
      <c r="G124" s="0" t="s">
        <v>35</v>
      </c>
      <c r="H124" s="0" t="s">
        <v>500</v>
      </c>
      <c r="I124" s="0" t="n">
        <v>1</v>
      </c>
      <c r="J124" s="0" t="n">
        <v>1597.36</v>
      </c>
      <c r="K124" s="0" t="n">
        <v>1240.66</v>
      </c>
    </row>
    <row r="125" customFormat="false" ht="15" hidden="false" customHeight="false" outlineLevel="0" collapsed="false">
      <c r="A125" s="0" t="n">
        <v>52</v>
      </c>
      <c r="B125" s="0" t="s">
        <v>542</v>
      </c>
      <c r="C125" s="0" t="s">
        <v>543</v>
      </c>
      <c r="D125" s="0" t="s">
        <v>324</v>
      </c>
      <c r="E125" s="0" t="s">
        <v>76</v>
      </c>
      <c r="F125" s="0" t="s">
        <v>490</v>
      </c>
      <c r="G125" s="0" t="s">
        <v>54</v>
      </c>
      <c r="H125" s="0" t="s">
        <v>544</v>
      </c>
      <c r="I125" s="0" t="n">
        <v>1</v>
      </c>
      <c r="J125" s="0" t="n">
        <v>371.28</v>
      </c>
      <c r="K125" s="0" t="n">
        <v>265.41</v>
      </c>
    </row>
    <row r="126" customFormat="false" ht="15" hidden="false" customHeight="false" outlineLevel="0" collapsed="false">
      <c r="A126" s="0" t="n">
        <v>99</v>
      </c>
      <c r="B126" s="0" t="s">
        <v>545</v>
      </c>
      <c r="C126" s="0" t="s">
        <v>296</v>
      </c>
      <c r="D126" s="0" t="s">
        <v>354</v>
      </c>
      <c r="E126" s="0" t="s">
        <v>546</v>
      </c>
      <c r="F126" s="0" t="s">
        <v>169</v>
      </c>
      <c r="G126" s="0" t="s">
        <v>35</v>
      </c>
      <c r="H126" s="0" t="s">
        <v>547</v>
      </c>
      <c r="I126" s="0" t="n">
        <v>3</v>
      </c>
      <c r="J126" s="0" t="n">
        <v>298.5</v>
      </c>
      <c r="K126" s="0" t="n">
        <v>173.9</v>
      </c>
    </row>
    <row r="127" customFormat="false" ht="15" hidden="false" customHeight="false" outlineLevel="0" collapsed="false">
      <c r="A127" s="0" t="n">
        <v>11</v>
      </c>
      <c r="B127" s="0" t="s">
        <v>548</v>
      </c>
      <c r="C127" s="0" t="s">
        <v>549</v>
      </c>
      <c r="D127" s="0" t="s">
        <v>303</v>
      </c>
      <c r="E127" s="0" t="s">
        <v>355</v>
      </c>
      <c r="F127" s="0" t="s">
        <v>53</v>
      </c>
      <c r="G127" s="0" t="s">
        <v>35</v>
      </c>
      <c r="H127" s="0" t="s">
        <v>550</v>
      </c>
      <c r="I127" s="0" t="n">
        <v>1</v>
      </c>
      <c r="J127" s="0" t="n">
        <v>335.03</v>
      </c>
      <c r="K127" s="0" t="n">
        <v>226.99</v>
      </c>
    </row>
    <row r="128" customFormat="false" ht="15" hidden="false" customHeight="false" outlineLevel="0" collapsed="false">
      <c r="A128" s="0" t="n">
        <v>156</v>
      </c>
      <c r="B128" s="0" t="s">
        <v>49</v>
      </c>
      <c r="C128" s="0" t="s">
        <v>543</v>
      </c>
      <c r="D128" s="0" t="s">
        <v>551</v>
      </c>
      <c r="E128" s="0" t="s">
        <v>552</v>
      </c>
      <c r="F128" s="0" t="s">
        <v>351</v>
      </c>
      <c r="G128" s="0" t="s">
        <v>35</v>
      </c>
      <c r="H128" s="0" t="s">
        <v>553</v>
      </c>
      <c r="I128" s="0" t="n">
        <v>2</v>
      </c>
      <c r="J128" s="0" t="n">
        <v>1289.7</v>
      </c>
      <c r="K128" s="0" t="n">
        <v>919.95</v>
      </c>
    </row>
    <row r="129" customFormat="false" ht="15" hidden="false" customHeight="false" outlineLevel="0" collapsed="false">
      <c r="A129" s="0" t="n">
        <v>385</v>
      </c>
      <c r="B129" s="0" t="s">
        <v>554</v>
      </c>
      <c r="C129" s="0" t="s">
        <v>421</v>
      </c>
      <c r="D129" s="0" t="s">
        <v>331</v>
      </c>
      <c r="E129" s="0" t="s">
        <v>555</v>
      </c>
      <c r="F129" s="0" t="s">
        <v>243</v>
      </c>
      <c r="G129" s="0" t="s">
        <v>35</v>
      </c>
      <c r="H129" s="0" t="s">
        <v>556</v>
      </c>
      <c r="I129" s="0" t="n">
        <v>1</v>
      </c>
      <c r="J129" s="0" t="n">
        <v>282.09</v>
      </c>
      <c r="K129" s="0" t="n">
        <v>218.73</v>
      </c>
    </row>
    <row r="130" customFormat="false" ht="15" hidden="false" customHeight="false" outlineLevel="0" collapsed="false">
      <c r="A130" s="0" t="n">
        <v>419</v>
      </c>
      <c r="B130" s="0" t="s">
        <v>557</v>
      </c>
      <c r="C130" s="0" t="s">
        <v>439</v>
      </c>
      <c r="D130" s="0" t="s">
        <v>216</v>
      </c>
      <c r="E130" s="0" t="s">
        <v>315</v>
      </c>
      <c r="F130" s="0" t="s">
        <v>34</v>
      </c>
      <c r="G130" s="0" t="s">
        <v>35</v>
      </c>
      <c r="H130" s="0" t="s">
        <v>558</v>
      </c>
      <c r="I130" s="0" t="n">
        <v>1</v>
      </c>
      <c r="J130" s="0" t="n">
        <v>4247.1</v>
      </c>
      <c r="K130" s="0" t="n">
        <v>2490.76</v>
      </c>
    </row>
    <row r="131" customFormat="false" ht="15" hidden="false" customHeight="false" outlineLevel="0" collapsed="false">
      <c r="A131" s="0" t="n">
        <v>75</v>
      </c>
      <c r="B131" s="0" t="s">
        <v>279</v>
      </c>
      <c r="C131" s="0" t="s">
        <v>309</v>
      </c>
      <c r="D131" s="0" t="s">
        <v>310</v>
      </c>
      <c r="E131" s="0" t="s">
        <v>311</v>
      </c>
      <c r="F131" s="0" t="s">
        <v>201</v>
      </c>
      <c r="G131" s="0" t="s">
        <v>35</v>
      </c>
      <c r="H131" s="0" t="s">
        <v>202</v>
      </c>
      <c r="I131" s="0" t="n">
        <v>1</v>
      </c>
      <c r="J131" s="0" t="n">
        <v>223.34</v>
      </c>
      <c r="K131" s="0" t="n">
        <v>146.67</v>
      </c>
      <c r="L131" s="0" t="s">
        <v>301</v>
      </c>
    </row>
    <row r="132" customFormat="false" ht="15" hidden="false" customHeight="false" outlineLevel="0" collapsed="false">
      <c r="A132" s="0" t="n">
        <v>232</v>
      </c>
      <c r="B132" s="0" t="s">
        <v>559</v>
      </c>
      <c r="C132" s="0" t="s">
        <v>411</v>
      </c>
      <c r="D132" s="0" t="s">
        <v>236</v>
      </c>
      <c r="E132" s="0" t="s">
        <v>560</v>
      </c>
      <c r="F132" s="0" t="s">
        <v>362</v>
      </c>
      <c r="G132" s="0" t="s">
        <v>35</v>
      </c>
      <c r="H132" s="0" t="s">
        <v>561</v>
      </c>
      <c r="I132" s="0" t="n">
        <v>2</v>
      </c>
      <c r="J132" s="0" t="n">
        <v>1852.77</v>
      </c>
      <c r="K132" s="0" t="n">
        <v>1385.77</v>
      </c>
    </row>
    <row r="133" customFormat="false" ht="15" hidden="false" customHeight="false" outlineLevel="0" collapsed="false">
      <c r="A133" s="0" t="n">
        <v>229</v>
      </c>
      <c r="B133" s="0" t="s">
        <v>418</v>
      </c>
      <c r="C133" s="0" t="s">
        <v>562</v>
      </c>
      <c r="D133" s="0" t="s">
        <v>563</v>
      </c>
      <c r="E133" s="0" t="s">
        <v>564</v>
      </c>
      <c r="F133" s="0" t="s">
        <v>277</v>
      </c>
      <c r="G133" s="0" t="s">
        <v>35</v>
      </c>
      <c r="H133" s="0" t="s">
        <v>565</v>
      </c>
      <c r="I133" s="0" t="n">
        <v>1</v>
      </c>
      <c r="J133" s="0" t="n">
        <v>464.85</v>
      </c>
      <c r="K133" s="0" t="n">
        <v>275.01</v>
      </c>
    </row>
    <row r="134" customFormat="false" ht="15" hidden="false" customHeight="false" outlineLevel="0" collapsed="false">
      <c r="A134" s="0" t="n">
        <v>274</v>
      </c>
      <c r="B134" s="0" t="s">
        <v>566</v>
      </c>
      <c r="C134" s="0" t="s">
        <v>63</v>
      </c>
      <c r="D134" s="0" t="s">
        <v>290</v>
      </c>
      <c r="E134" s="0" t="s">
        <v>567</v>
      </c>
      <c r="F134" s="0" t="s">
        <v>512</v>
      </c>
      <c r="G134" s="0" t="s">
        <v>35</v>
      </c>
      <c r="H134" s="0" t="s">
        <v>568</v>
      </c>
      <c r="I134" s="0" t="n">
        <v>1</v>
      </c>
      <c r="J134" s="0" t="n">
        <v>776.01</v>
      </c>
      <c r="K134" s="0" t="n">
        <v>535.07</v>
      </c>
    </row>
    <row r="135" customFormat="false" ht="15" hidden="false" customHeight="false" outlineLevel="0" collapsed="false">
      <c r="A135" s="0" t="n">
        <v>24</v>
      </c>
      <c r="B135" s="0" t="s">
        <v>569</v>
      </c>
      <c r="C135" s="0" t="s">
        <v>220</v>
      </c>
      <c r="D135" s="0" t="s">
        <v>540</v>
      </c>
      <c r="E135" s="0" t="s">
        <v>148</v>
      </c>
      <c r="F135" s="0" t="s">
        <v>212</v>
      </c>
      <c r="G135" s="0" t="s">
        <v>35</v>
      </c>
      <c r="H135" s="0" t="s">
        <v>570</v>
      </c>
      <c r="I135" s="0" t="n">
        <v>1</v>
      </c>
      <c r="J135" s="0" t="n">
        <v>1060.84</v>
      </c>
      <c r="K135" s="0" t="n">
        <v>774.32</v>
      </c>
    </row>
    <row r="136" customFormat="false" ht="15" hidden="false" customHeight="false" outlineLevel="0" collapsed="false">
      <c r="A136" s="0" t="n">
        <v>194</v>
      </c>
      <c r="B136" s="0" t="s">
        <v>501</v>
      </c>
      <c r="C136" s="0" t="s">
        <v>215</v>
      </c>
      <c r="D136" s="0" t="s">
        <v>571</v>
      </c>
      <c r="E136" s="0" t="s">
        <v>572</v>
      </c>
      <c r="F136" s="0" t="s">
        <v>163</v>
      </c>
      <c r="G136" s="0" t="s">
        <v>35</v>
      </c>
      <c r="H136" s="0" t="s">
        <v>573</v>
      </c>
      <c r="I136" s="0" t="n">
        <v>2</v>
      </c>
      <c r="J136" s="0" t="n">
        <v>2093.09</v>
      </c>
      <c r="K136" s="0" t="n">
        <v>1470.59</v>
      </c>
    </row>
    <row r="137" customFormat="false" ht="15" hidden="false" customHeight="false" outlineLevel="0" collapsed="false">
      <c r="A137" s="0" t="n">
        <v>234</v>
      </c>
      <c r="B137" s="0" t="s">
        <v>574</v>
      </c>
      <c r="C137" s="0" t="s">
        <v>439</v>
      </c>
      <c r="D137" s="0" t="s">
        <v>575</v>
      </c>
      <c r="E137" s="0" t="s">
        <v>576</v>
      </c>
      <c r="F137" s="0" t="s">
        <v>92</v>
      </c>
      <c r="G137" s="0" t="s">
        <v>35</v>
      </c>
      <c r="H137" s="0" t="s">
        <v>426</v>
      </c>
      <c r="I137" s="0" t="n">
        <v>1</v>
      </c>
      <c r="J137" s="0" t="n">
        <v>143.67</v>
      </c>
      <c r="K137" s="0" t="n">
        <v>108.7</v>
      </c>
    </row>
    <row r="138" customFormat="false" ht="15" hidden="false" customHeight="false" outlineLevel="0" collapsed="false">
      <c r="A138" s="0" t="n">
        <v>392</v>
      </c>
      <c r="B138" s="0" t="s">
        <v>577</v>
      </c>
      <c r="C138" s="0" t="s">
        <v>578</v>
      </c>
      <c r="D138" s="0" t="s">
        <v>191</v>
      </c>
      <c r="E138" s="0" t="s">
        <v>579</v>
      </c>
      <c r="F138" s="0" t="s">
        <v>108</v>
      </c>
      <c r="G138" s="0" t="s">
        <v>35</v>
      </c>
      <c r="H138" s="0" t="s">
        <v>580</v>
      </c>
      <c r="I138" s="0" t="n">
        <v>2</v>
      </c>
      <c r="J138" s="0" t="n">
        <v>1065.74</v>
      </c>
      <c r="K138" s="0" t="n">
        <v>599.78</v>
      </c>
    </row>
    <row r="139" customFormat="false" ht="15" hidden="false" customHeight="false" outlineLevel="0" collapsed="false">
      <c r="A139" s="0" t="n">
        <v>51</v>
      </c>
      <c r="B139" s="0" t="s">
        <v>581</v>
      </c>
      <c r="C139" s="0" t="s">
        <v>313</v>
      </c>
      <c r="D139" s="0" t="s">
        <v>275</v>
      </c>
      <c r="E139" s="0" t="s">
        <v>582</v>
      </c>
      <c r="F139" s="0" t="s">
        <v>322</v>
      </c>
      <c r="G139" s="0" t="s">
        <v>35</v>
      </c>
      <c r="H139" s="0" t="s">
        <v>583</v>
      </c>
      <c r="I139" s="0" t="n">
        <v>2</v>
      </c>
      <c r="J139" s="0" t="n">
        <v>845.38</v>
      </c>
      <c r="K139" s="0" t="n">
        <v>571.13</v>
      </c>
    </row>
    <row r="140" customFormat="false" ht="15" hidden="false" customHeight="false" outlineLevel="0" collapsed="false">
      <c r="A140" s="0" t="n">
        <v>39</v>
      </c>
      <c r="B140" s="0" t="s">
        <v>584</v>
      </c>
      <c r="C140" s="0" t="s">
        <v>284</v>
      </c>
      <c r="D140" s="0" t="s">
        <v>320</v>
      </c>
      <c r="E140" s="0" t="s">
        <v>237</v>
      </c>
      <c r="F140" s="0" t="s">
        <v>277</v>
      </c>
      <c r="G140" s="0" t="s">
        <v>35</v>
      </c>
      <c r="H140" s="0" t="s">
        <v>109</v>
      </c>
      <c r="I140" s="0" t="n">
        <v>2</v>
      </c>
      <c r="J140" s="0" t="n">
        <v>2432.17</v>
      </c>
      <c r="K140" s="0" t="n">
        <v>1620.28</v>
      </c>
    </row>
    <row r="141" customFormat="false" ht="15" hidden="false" customHeight="false" outlineLevel="0" collapsed="false">
      <c r="A141" s="0" t="n">
        <v>219</v>
      </c>
      <c r="B141" s="0" t="s">
        <v>585</v>
      </c>
      <c r="C141" s="0" t="s">
        <v>411</v>
      </c>
      <c r="D141" s="0" t="s">
        <v>307</v>
      </c>
      <c r="E141" s="0" t="s">
        <v>158</v>
      </c>
      <c r="F141" s="0" t="s">
        <v>66</v>
      </c>
      <c r="G141" s="0" t="s">
        <v>54</v>
      </c>
      <c r="H141" s="0" t="s">
        <v>586</v>
      </c>
      <c r="I141" s="0" t="n">
        <v>1</v>
      </c>
      <c r="J141" s="0" t="n">
        <v>3879.56</v>
      </c>
      <c r="K141" s="0" t="n">
        <v>2948.68</v>
      </c>
    </row>
    <row r="142" customFormat="false" ht="15" hidden="false" customHeight="false" outlineLevel="0" collapsed="false">
      <c r="A142" s="0" t="n">
        <v>6</v>
      </c>
      <c r="B142" s="0" t="s">
        <v>587</v>
      </c>
      <c r="C142" s="0" t="s">
        <v>296</v>
      </c>
      <c r="D142" s="0" t="s">
        <v>588</v>
      </c>
      <c r="E142" s="0" t="s">
        <v>486</v>
      </c>
      <c r="F142" s="0" t="s">
        <v>519</v>
      </c>
      <c r="G142" s="0" t="s">
        <v>35</v>
      </c>
      <c r="H142" s="0" t="s">
        <v>589</v>
      </c>
      <c r="I142" s="0" t="n">
        <v>1</v>
      </c>
      <c r="J142" s="0" t="n">
        <v>764.8</v>
      </c>
      <c r="K142" s="0" t="n">
        <v>421.4</v>
      </c>
    </row>
    <row r="143" customFormat="false" ht="15" hidden="false" customHeight="false" outlineLevel="0" collapsed="false">
      <c r="A143" s="0" t="n">
        <v>76</v>
      </c>
      <c r="B143" s="0" t="s">
        <v>590</v>
      </c>
      <c r="C143" s="0" t="s">
        <v>369</v>
      </c>
      <c r="D143" s="0" t="s">
        <v>462</v>
      </c>
      <c r="E143" s="0" t="s">
        <v>591</v>
      </c>
      <c r="F143" s="0" t="s">
        <v>351</v>
      </c>
      <c r="G143" s="0" t="s">
        <v>35</v>
      </c>
      <c r="H143" s="0" t="s">
        <v>592</v>
      </c>
      <c r="I143" s="0" t="n">
        <v>0</v>
      </c>
      <c r="J143" s="0" t="n">
        <v>2730.28</v>
      </c>
      <c r="K143" s="0" t="n">
        <v>1889.53</v>
      </c>
    </row>
    <row r="144" customFormat="false" ht="15" hidden="false" customHeight="false" outlineLevel="0" collapsed="false">
      <c r="A144" s="0" t="n">
        <v>48</v>
      </c>
      <c r="B144" s="0" t="s">
        <v>593</v>
      </c>
      <c r="C144" s="0" t="s">
        <v>50</v>
      </c>
      <c r="D144" s="0" t="s">
        <v>182</v>
      </c>
      <c r="E144" s="0" t="s">
        <v>567</v>
      </c>
      <c r="F144" s="0" t="s">
        <v>34</v>
      </c>
      <c r="G144" s="0" t="s">
        <v>54</v>
      </c>
      <c r="H144" s="0" t="s">
        <v>594</v>
      </c>
      <c r="I144" s="0" t="n">
        <v>1</v>
      </c>
      <c r="J144" s="0" t="n">
        <v>150.16</v>
      </c>
      <c r="K144" s="0" t="n">
        <v>83.02</v>
      </c>
    </row>
    <row r="145" customFormat="false" ht="15" hidden="false" customHeight="false" outlineLevel="0" collapsed="false">
      <c r="A145" s="0" t="n">
        <v>47</v>
      </c>
      <c r="B145" s="0" t="s">
        <v>595</v>
      </c>
      <c r="C145" s="0" t="s">
        <v>415</v>
      </c>
      <c r="D145" s="0" t="s">
        <v>269</v>
      </c>
      <c r="E145" s="0" t="s">
        <v>596</v>
      </c>
      <c r="F145" s="0" t="s">
        <v>102</v>
      </c>
      <c r="G145" s="0" t="s">
        <v>35</v>
      </c>
      <c r="H145" s="0" t="s">
        <v>597</v>
      </c>
      <c r="I145" s="0" t="n">
        <v>1</v>
      </c>
      <c r="J145" s="0" t="n">
        <v>113.83</v>
      </c>
      <c r="K145" s="0" t="n">
        <v>79.75</v>
      </c>
    </row>
    <row r="146" customFormat="false" ht="15" hidden="false" customHeight="false" outlineLevel="0" collapsed="false">
      <c r="A146" s="0" t="n">
        <v>71</v>
      </c>
      <c r="B146" s="0" t="s">
        <v>598</v>
      </c>
      <c r="C146" s="0" t="s">
        <v>451</v>
      </c>
      <c r="D146" s="0" t="s">
        <v>551</v>
      </c>
      <c r="E146" s="0" t="s">
        <v>196</v>
      </c>
      <c r="F146" s="0" t="s">
        <v>333</v>
      </c>
      <c r="G146" s="0" t="s">
        <v>35</v>
      </c>
      <c r="H146" s="0" t="s">
        <v>599</v>
      </c>
      <c r="I146" s="0" t="n">
        <v>3</v>
      </c>
      <c r="J146" s="0" t="n">
        <v>4289.38</v>
      </c>
      <c r="K146" s="0" t="n">
        <v>2592.34</v>
      </c>
      <c r="L146" s="0" t="s">
        <v>301</v>
      </c>
    </row>
    <row r="147" customFormat="false" ht="15" hidden="false" customHeight="false" outlineLevel="0" collapsed="false">
      <c r="A147" s="0" t="n">
        <v>250</v>
      </c>
      <c r="B147" s="0" t="s">
        <v>600</v>
      </c>
      <c r="C147" s="0" t="s">
        <v>111</v>
      </c>
      <c r="D147" s="0" t="s">
        <v>601</v>
      </c>
      <c r="E147" s="0" t="s">
        <v>602</v>
      </c>
      <c r="F147" s="0" t="s">
        <v>163</v>
      </c>
      <c r="G147" s="0" t="s">
        <v>35</v>
      </c>
      <c r="H147" s="0" t="s">
        <v>603</v>
      </c>
      <c r="I147" s="0" t="n">
        <v>1</v>
      </c>
      <c r="J147" s="0" t="n">
        <v>4116.1</v>
      </c>
      <c r="K147" s="0" t="n">
        <v>2786.67</v>
      </c>
    </row>
    <row r="148" customFormat="false" ht="15" hidden="false" customHeight="false" outlineLevel="0" collapsed="false">
      <c r="A148" s="0" t="n">
        <v>80</v>
      </c>
      <c r="B148" s="0" t="s">
        <v>189</v>
      </c>
      <c r="C148" s="0" t="s">
        <v>146</v>
      </c>
      <c r="D148" s="0" t="s">
        <v>604</v>
      </c>
      <c r="E148" s="0" t="s">
        <v>605</v>
      </c>
      <c r="F148" s="0" t="s">
        <v>265</v>
      </c>
      <c r="G148" s="0" t="s">
        <v>35</v>
      </c>
      <c r="H148" s="0" t="s">
        <v>308</v>
      </c>
      <c r="I148" s="0" t="n">
        <v>1</v>
      </c>
      <c r="J148" s="0" t="n">
        <v>760.39</v>
      </c>
      <c r="K148" s="0" t="n">
        <v>551.2</v>
      </c>
    </row>
    <row r="149" customFormat="false" ht="15" hidden="false" customHeight="false" outlineLevel="0" collapsed="false">
      <c r="A149" s="0" t="n">
        <v>31</v>
      </c>
      <c r="B149" s="0" t="s">
        <v>379</v>
      </c>
      <c r="C149" s="0" t="s">
        <v>79</v>
      </c>
      <c r="D149" s="0" t="s">
        <v>51</v>
      </c>
      <c r="E149" s="0" t="s">
        <v>76</v>
      </c>
      <c r="F149" s="0" t="s">
        <v>114</v>
      </c>
      <c r="G149" s="0" t="s">
        <v>35</v>
      </c>
      <c r="H149" s="0" t="s">
        <v>248</v>
      </c>
      <c r="I149" s="0" t="n">
        <v>1</v>
      </c>
      <c r="J149" s="0" t="n">
        <v>155.21</v>
      </c>
      <c r="K149" s="0" t="n">
        <v>120.35</v>
      </c>
    </row>
    <row r="150" customFormat="false" ht="15" hidden="false" customHeight="false" outlineLevel="0" collapsed="false">
      <c r="A150" s="0" t="n">
        <v>251</v>
      </c>
      <c r="B150" s="0" t="s">
        <v>606</v>
      </c>
      <c r="C150" s="0" t="s">
        <v>607</v>
      </c>
      <c r="D150" s="0" t="s">
        <v>551</v>
      </c>
      <c r="E150" s="0" t="s">
        <v>608</v>
      </c>
      <c r="F150" s="0" t="s">
        <v>609</v>
      </c>
      <c r="G150" s="0" t="s">
        <v>35</v>
      </c>
      <c r="H150" s="0" t="s">
        <v>610</v>
      </c>
      <c r="I150" s="0" t="n">
        <v>2</v>
      </c>
      <c r="J150" s="0" t="n">
        <v>4130.49</v>
      </c>
      <c r="K150" s="0" t="n">
        <v>2461.58</v>
      </c>
    </row>
    <row r="151" customFormat="false" ht="15" hidden="false" customHeight="false" outlineLevel="0" collapsed="false">
      <c r="A151" s="0" t="n">
        <v>307</v>
      </c>
      <c r="B151" s="0" t="s">
        <v>611</v>
      </c>
      <c r="C151" s="0" t="s">
        <v>313</v>
      </c>
      <c r="D151" s="0" t="s">
        <v>210</v>
      </c>
      <c r="E151" s="0" t="s">
        <v>612</v>
      </c>
      <c r="F151" s="0" t="s">
        <v>441</v>
      </c>
      <c r="G151" s="0" t="s">
        <v>54</v>
      </c>
      <c r="H151" s="0" t="s">
        <v>613</v>
      </c>
      <c r="I151" s="0" t="n">
        <v>1</v>
      </c>
      <c r="J151" s="0" t="n">
        <v>3531.77</v>
      </c>
      <c r="K151" s="0" t="n">
        <v>2220.22</v>
      </c>
    </row>
    <row r="152" customFormat="false" ht="15" hidden="false" customHeight="false" outlineLevel="0" collapsed="false">
      <c r="A152" s="0" t="n">
        <v>191</v>
      </c>
      <c r="B152" s="0" t="s">
        <v>614</v>
      </c>
      <c r="C152" s="0" t="s">
        <v>510</v>
      </c>
      <c r="D152" s="0" t="s">
        <v>137</v>
      </c>
      <c r="E152" s="0" t="s">
        <v>615</v>
      </c>
      <c r="F152" s="0" t="s">
        <v>356</v>
      </c>
      <c r="G152" s="0" t="s">
        <v>35</v>
      </c>
      <c r="H152" s="0" t="s">
        <v>616</v>
      </c>
      <c r="I152" s="0" t="n">
        <v>1</v>
      </c>
      <c r="J152" s="0" t="n">
        <v>3693.28</v>
      </c>
      <c r="K152" s="0" t="n">
        <v>2733.62</v>
      </c>
    </row>
    <row r="153" customFormat="false" ht="15" hidden="false" customHeight="false" outlineLevel="0" collapsed="false">
      <c r="A153" s="0" t="n">
        <v>116</v>
      </c>
      <c r="B153" s="0" t="s">
        <v>68</v>
      </c>
      <c r="C153" s="0" t="s">
        <v>617</v>
      </c>
      <c r="D153" s="0" t="s">
        <v>618</v>
      </c>
      <c r="E153" s="0" t="s">
        <v>619</v>
      </c>
      <c r="F153" s="0" t="s">
        <v>169</v>
      </c>
      <c r="G153" s="0" t="s">
        <v>35</v>
      </c>
      <c r="H153" s="0" t="s">
        <v>620</v>
      </c>
      <c r="I153" s="0" t="n">
        <v>1</v>
      </c>
      <c r="J153" s="0" t="n">
        <v>158.53</v>
      </c>
      <c r="K153" s="0" t="n">
        <v>109.3</v>
      </c>
    </row>
    <row r="154" customFormat="false" ht="15" hidden="false" customHeight="false" outlineLevel="0" collapsed="false">
      <c r="A154" s="0" t="n">
        <v>26</v>
      </c>
      <c r="B154" s="0" t="s">
        <v>373</v>
      </c>
      <c r="C154" s="0" t="s">
        <v>141</v>
      </c>
      <c r="D154" s="0" t="s">
        <v>392</v>
      </c>
      <c r="E154" s="0" t="s">
        <v>621</v>
      </c>
      <c r="F154" s="0" t="s">
        <v>119</v>
      </c>
      <c r="G154" s="0" t="s">
        <v>54</v>
      </c>
      <c r="H154" s="0" t="s">
        <v>622</v>
      </c>
      <c r="I154" s="0" t="n">
        <v>1</v>
      </c>
      <c r="J154" s="0" t="n">
        <v>2987.74</v>
      </c>
      <c r="K154" s="0" t="n">
        <v>2116.65</v>
      </c>
    </row>
    <row r="155" customFormat="false" ht="15" hidden="false" customHeight="false" outlineLevel="0" collapsed="false">
      <c r="A155" s="0" t="n">
        <v>66</v>
      </c>
      <c r="B155" s="0" t="s">
        <v>292</v>
      </c>
      <c r="C155" s="0" t="s">
        <v>623</v>
      </c>
      <c r="D155" s="0" t="s">
        <v>624</v>
      </c>
      <c r="E155" s="0" t="s">
        <v>625</v>
      </c>
      <c r="F155" s="0" t="s">
        <v>34</v>
      </c>
      <c r="G155" s="0" t="s">
        <v>35</v>
      </c>
      <c r="H155" s="0" t="s">
        <v>626</v>
      </c>
      <c r="I155" s="0" t="n">
        <v>1</v>
      </c>
      <c r="J155" s="0" t="n">
        <v>3852.32</v>
      </c>
    </row>
    <row r="156" customFormat="false" ht="15" hidden="false" customHeight="false" outlineLevel="0" collapsed="false">
      <c r="A156" s="0" t="n">
        <v>215</v>
      </c>
      <c r="B156" s="0" t="s">
        <v>627</v>
      </c>
      <c r="C156" s="0" t="s">
        <v>89</v>
      </c>
      <c r="D156" s="0" t="s">
        <v>275</v>
      </c>
      <c r="E156" s="0" t="s">
        <v>76</v>
      </c>
      <c r="F156" s="0" t="s">
        <v>169</v>
      </c>
      <c r="G156" s="0" t="s">
        <v>35</v>
      </c>
      <c r="H156" s="0" t="s">
        <v>628</v>
      </c>
      <c r="I156" s="0" t="n">
        <v>1</v>
      </c>
      <c r="J156" s="0" t="n">
        <v>818.07</v>
      </c>
      <c r="K156" s="0" t="n">
        <v>457.27</v>
      </c>
    </row>
    <row r="157" customFormat="false" ht="15" hidden="false" customHeight="false" outlineLevel="0" collapsed="false">
      <c r="A157" s="0" t="n">
        <v>348</v>
      </c>
      <c r="B157" s="0" t="s">
        <v>629</v>
      </c>
      <c r="C157" s="0" t="s">
        <v>280</v>
      </c>
      <c r="D157" s="0" t="s">
        <v>392</v>
      </c>
      <c r="E157" s="0" t="s">
        <v>630</v>
      </c>
      <c r="F157" s="0" t="s">
        <v>351</v>
      </c>
      <c r="G157" s="0" t="s">
        <v>35</v>
      </c>
      <c r="H157" s="0" t="s">
        <v>597</v>
      </c>
      <c r="I157" s="0" t="n">
        <v>3</v>
      </c>
      <c r="J157" s="0" t="n">
        <v>4362.82</v>
      </c>
      <c r="K157" s="0" t="n">
        <v>3174.32</v>
      </c>
    </row>
    <row r="158" customFormat="false" ht="15" hidden="false" customHeight="false" outlineLevel="0" collapsed="false">
      <c r="A158" s="0" t="n">
        <v>167</v>
      </c>
      <c r="B158" s="0" t="s">
        <v>631</v>
      </c>
      <c r="C158" s="0" t="s">
        <v>99</v>
      </c>
      <c r="D158" s="0" t="s">
        <v>632</v>
      </c>
      <c r="E158" s="0" t="s">
        <v>579</v>
      </c>
      <c r="F158" s="0" t="s">
        <v>223</v>
      </c>
      <c r="G158" s="0" t="s">
        <v>54</v>
      </c>
      <c r="H158" s="0" t="s">
        <v>633</v>
      </c>
      <c r="I158" s="0" t="n">
        <v>1</v>
      </c>
      <c r="J158" s="0" t="n">
        <v>1709.44</v>
      </c>
      <c r="K158" s="0" t="n">
        <v>1102.73</v>
      </c>
    </row>
    <row r="159" customFormat="false" ht="15" hidden="false" customHeight="false" outlineLevel="0" collapsed="false">
      <c r="A159" s="0" t="n">
        <v>349</v>
      </c>
      <c r="B159" s="0" t="s">
        <v>453</v>
      </c>
      <c r="C159" s="0" t="s">
        <v>451</v>
      </c>
      <c r="D159" s="0" t="s">
        <v>147</v>
      </c>
      <c r="E159" s="0" t="s">
        <v>541</v>
      </c>
      <c r="F159" s="0" t="s">
        <v>159</v>
      </c>
      <c r="G159" s="0" t="s">
        <v>54</v>
      </c>
      <c r="H159" s="0" t="s">
        <v>278</v>
      </c>
      <c r="I159" s="0" t="n">
        <v>1</v>
      </c>
      <c r="J159" s="0" t="n">
        <v>1963.98</v>
      </c>
      <c r="K159" s="0" t="n">
        <v>1134.15</v>
      </c>
    </row>
    <row r="160" customFormat="false" ht="15" hidden="false" customHeight="false" outlineLevel="0" collapsed="false">
      <c r="A160" s="0" t="n">
        <v>420</v>
      </c>
      <c r="B160" s="0" t="s">
        <v>634</v>
      </c>
      <c r="C160" s="0" t="s">
        <v>635</v>
      </c>
      <c r="D160" s="0" t="s">
        <v>256</v>
      </c>
      <c r="E160" s="0" t="s">
        <v>636</v>
      </c>
      <c r="F160" s="0" t="s">
        <v>238</v>
      </c>
      <c r="G160" s="0" t="s">
        <v>35</v>
      </c>
      <c r="H160" s="0" t="s">
        <v>637</v>
      </c>
      <c r="I160" s="0" t="n">
        <v>1</v>
      </c>
      <c r="J160" s="0" t="n">
        <v>3681.44</v>
      </c>
      <c r="K160" s="0" t="n">
        <v>2278.31</v>
      </c>
    </row>
    <row r="161" customFormat="false" ht="15" hidden="false" customHeight="false" outlineLevel="0" collapsed="false">
      <c r="A161" s="0" t="n">
        <v>69</v>
      </c>
      <c r="B161" s="0" t="s">
        <v>598</v>
      </c>
      <c r="C161" s="0" t="s">
        <v>313</v>
      </c>
      <c r="D161" s="0" t="s">
        <v>638</v>
      </c>
      <c r="E161" s="0" t="s">
        <v>639</v>
      </c>
      <c r="F161" s="0" t="s">
        <v>66</v>
      </c>
      <c r="G161" s="0" t="s">
        <v>35</v>
      </c>
      <c r="H161" s="0" t="s">
        <v>640</v>
      </c>
      <c r="I161" s="0" t="n">
        <v>2</v>
      </c>
      <c r="J161" s="0" t="n">
        <v>322.3</v>
      </c>
    </row>
    <row r="162" customFormat="false" ht="15" hidden="false" customHeight="false" outlineLevel="0" collapsed="false">
      <c r="A162" s="0" t="n">
        <v>330</v>
      </c>
      <c r="B162" s="0" t="s">
        <v>641</v>
      </c>
      <c r="C162" s="0" t="s">
        <v>391</v>
      </c>
      <c r="D162" s="0" t="s">
        <v>387</v>
      </c>
      <c r="E162" s="0" t="s">
        <v>293</v>
      </c>
      <c r="F162" s="0" t="s">
        <v>143</v>
      </c>
      <c r="G162" s="0" t="s">
        <v>35</v>
      </c>
      <c r="H162" s="0" t="s">
        <v>642</v>
      </c>
      <c r="I162" s="0" t="n">
        <v>1</v>
      </c>
      <c r="J162" s="0" t="n">
        <v>635.97</v>
      </c>
      <c r="K162" s="0" t="n">
        <v>476.6</v>
      </c>
    </row>
    <row r="163" customFormat="false" ht="15" hidden="false" customHeight="false" outlineLevel="0" collapsed="false">
      <c r="A163" s="0" t="n">
        <v>78</v>
      </c>
      <c r="B163" s="0" t="s">
        <v>643</v>
      </c>
      <c r="C163" s="0" t="s">
        <v>644</v>
      </c>
      <c r="D163" s="0" t="s">
        <v>191</v>
      </c>
      <c r="E163" s="0" t="s">
        <v>645</v>
      </c>
      <c r="F163" s="0" t="s">
        <v>322</v>
      </c>
      <c r="G163" s="0" t="s">
        <v>54</v>
      </c>
      <c r="H163" s="0" t="s">
        <v>529</v>
      </c>
      <c r="I163" s="0" t="n">
        <v>1</v>
      </c>
      <c r="J163" s="0" t="n">
        <v>1588.88</v>
      </c>
      <c r="K163" s="0" t="n">
        <v>1100.47</v>
      </c>
    </row>
    <row r="164" customFormat="false" ht="15" hidden="false" customHeight="false" outlineLevel="0" collapsed="false">
      <c r="A164" s="0" t="n">
        <v>321</v>
      </c>
      <c r="B164" s="0" t="s">
        <v>646</v>
      </c>
      <c r="C164" s="0" t="s">
        <v>156</v>
      </c>
      <c r="D164" s="0" t="s">
        <v>236</v>
      </c>
      <c r="E164" s="0" t="s">
        <v>237</v>
      </c>
      <c r="F164" s="0" t="s">
        <v>512</v>
      </c>
      <c r="G164" s="0" t="s">
        <v>35</v>
      </c>
      <c r="H164" s="0" t="s">
        <v>647</v>
      </c>
      <c r="I164" s="0" t="n">
        <v>1</v>
      </c>
      <c r="J164" s="0" t="n">
        <v>4261.9</v>
      </c>
      <c r="K164" s="0" t="n">
        <v>3312.69</v>
      </c>
    </row>
    <row r="165" customFormat="false" ht="15" hidden="false" customHeight="false" outlineLevel="0" collapsed="false">
      <c r="A165" s="0" t="n">
        <v>415</v>
      </c>
      <c r="B165" s="0" t="s">
        <v>648</v>
      </c>
      <c r="C165" s="0" t="s">
        <v>296</v>
      </c>
      <c r="D165" s="0" t="s">
        <v>604</v>
      </c>
      <c r="E165" s="0" t="s">
        <v>456</v>
      </c>
      <c r="F165" s="0" t="s">
        <v>265</v>
      </c>
      <c r="G165" s="0" t="s">
        <v>54</v>
      </c>
      <c r="H165" s="0" t="s">
        <v>649</v>
      </c>
      <c r="I165" s="0" t="n">
        <v>1</v>
      </c>
      <c r="J165" s="0" t="n">
        <v>855.74</v>
      </c>
      <c r="K165" s="0" t="n">
        <v>584.42</v>
      </c>
    </row>
    <row r="166" customFormat="false" ht="15" hidden="false" customHeight="false" outlineLevel="0" collapsed="false">
      <c r="A166" s="0" t="n">
        <v>374</v>
      </c>
      <c r="B166" s="0" t="s">
        <v>535</v>
      </c>
      <c r="C166" s="0" t="s">
        <v>204</v>
      </c>
      <c r="D166" s="0" t="s">
        <v>604</v>
      </c>
      <c r="E166" s="0" t="s">
        <v>118</v>
      </c>
      <c r="F166" s="0" t="s">
        <v>212</v>
      </c>
      <c r="G166" s="0" t="s">
        <v>35</v>
      </c>
      <c r="H166" s="0" t="s">
        <v>650</v>
      </c>
      <c r="I166" s="0" t="n">
        <v>1</v>
      </c>
      <c r="J166" s="0" t="n">
        <v>892.03</v>
      </c>
      <c r="K166" s="0" t="n">
        <v>621.72</v>
      </c>
    </row>
    <row r="167" customFormat="false" ht="15" hidden="false" customHeight="false" outlineLevel="0" collapsed="false">
      <c r="A167" s="0" t="n">
        <v>59</v>
      </c>
      <c r="B167" s="0" t="s">
        <v>330</v>
      </c>
      <c r="C167" s="0" t="s">
        <v>105</v>
      </c>
      <c r="D167" s="0" t="s">
        <v>651</v>
      </c>
      <c r="E167" s="0" t="s">
        <v>257</v>
      </c>
      <c r="F167" s="0" t="s">
        <v>53</v>
      </c>
      <c r="G167" s="0" t="s">
        <v>35</v>
      </c>
      <c r="H167" s="0" t="s">
        <v>652</v>
      </c>
      <c r="I167" s="0" t="n">
        <v>1</v>
      </c>
      <c r="J167" s="0" t="n">
        <v>4036.45</v>
      </c>
      <c r="K167" s="0" t="n">
        <v>2479.52</v>
      </c>
    </row>
    <row r="168" customFormat="false" ht="15" hidden="false" customHeight="false" outlineLevel="0" collapsed="false">
      <c r="A168" s="0" t="n">
        <v>126</v>
      </c>
      <c r="B168" s="0" t="s">
        <v>653</v>
      </c>
      <c r="C168" s="0" t="s">
        <v>141</v>
      </c>
      <c r="D168" s="0" t="s">
        <v>256</v>
      </c>
      <c r="E168" s="0" t="s">
        <v>630</v>
      </c>
      <c r="F168" s="0" t="s">
        <v>333</v>
      </c>
      <c r="G168" s="0" t="s">
        <v>35</v>
      </c>
      <c r="H168" s="0" t="s">
        <v>270</v>
      </c>
      <c r="I168" s="0" t="n">
        <v>1</v>
      </c>
      <c r="J168" s="0" t="n">
        <v>2060.32</v>
      </c>
      <c r="K168" s="0" t="n">
        <v>1249.92</v>
      </c>
    </row>
    <row r="169" customFormat="false" ht="15" hidden="false" customHeight="false" outlineLevel="0" collapsed="false">
      <c r="A169" s="0" t="n">
        <v>43</v>
      </c>
      <c r="B169" s="0" t="s">
        <v>654</v>
      </c>
      <c r="C169" s="0" t="s">
        <v>421</v>
      </c>
      <c r="D169" s="0" t="s">
        <v>157</v>
      </c>
      <c r="E169" s="0" t="s">
        <v>206</v>
      </c>
      <c r="F169" s="0" t="s">
        <v>506</v>
      </c>
      <c r="G169" s="0" t="s">
        <v>35</v>
      </c>
      <c r="H169" s="0" t="s">
        <v>224</v>
      </c>
      <c r="I169" s="0" t="n">
        <v>1</v>
      </c>
      <c r="J169" s="0" t="n">
        <v>4314.53</v>
      </c>
      <c r="K169" s="0" t="n">
        <v>2595.96</v>
      </c>
    </row>
    <row r="170" customFormat="false" ht="15" hidden="false" customHeight="false" outlineLevel="0" collapsed="false">
      <c r="A170" s="0" t="n">
        <v>5</v>
      </c>
      <c r="B170" s="0" t="s">
        <v>587</v>
      </c>
      <c r="C170" s="0" t="s">
        <v>445</v>
      </c>
      <c r="D170" s="0" t="s">
        <v>588</v>
      </c>
      <c r="E170" s="0" t="s">
        <v>396</v>
      </c>
      <c r="F170" s="0" t="s">
        <v>77</v>
      </c>
      <c r="G170" s="0" t="s">
        <v>54</v>
      </c>
      <c r="H170" s="0" t="s">
        <v>655</v>
      </c>
      <c r="I170" s="0" t="n">
        <v>1</v>
      </c>
      <c r="J170" s="0" t="n">
        <v>527.07</v>
      </c>
      <c r="K170" s="0" t="n">
        <v>374.35</v>
      </c>
    </row>
    <row r="171" customFormat="false" ht="15" hidden="false" customHeight="false" outlineLevel="0" collapsed="false">
      <c r="A171" s="0" t="n">
        <v>122</v>
      </c>
      <c r="B171" s="0" t="s">
        <v>656</v>
      </c>
      <c r="C171" s="0" t="s">
        <v>415</v>
      </c>
      <c r="D171" s="0" t="s">
        <v>657</v>
      </c>
      <c r="E171" s="0" t="s">
        <v>658</v>
      </c>
      <c r="F171" s="0" t="s">
        <v>512</v>
      </c>
      <c r="G171" s="0" t="s">
        <v>35</v>
      </c>
      <c r="H171" s="0" t="s">
        <v>497</v>
      </c>
      <c r="I171" s="0" t="n">
        <v>0</v>
      </c>
      <c r="J171" s="0" t="n">
        <v>5488.2</v>
      </c>
      <c r="K171" s="0" t="n">
        <v>3831.09</v>
      </c>
    </row>
    <row r="172" customFormat="false" ht="15" hidden="false" customHeight="false" outlineLevel="0" collapsed="false">
      <c r="A172" s="0" t="n">
        <v>298</v>
      </c>
      <c r="B172" s="0" t="s">
        <v>395</v>
      </c>
      <c r="C172" s="0" t="s">
        <v>141</v>
      </c>
      <c r="D172" s="0" t="s">
        <v>659</v>
      </c>
      <c r="E172" s="0" t="s">
        <v>341</v>
      </c>
      <c r="F172" s="0" t="s">
        <v>108</v>
      </c>
      <c r="G172" s="0" t="s">
        <v>54</v>
      </c>
      <c r="H172" s="0" t="s">
        <v>660</v>
      </c>
      <c r="I172" s="0" t="n">
        <v>2</v>
      </c>
      <c r="J172" s="0" t="n">
        <v>2268.99</v>
      </c>
      <c r="K172" s="0" t="n">
        <v>1548.99</v>
      </c>
    </row>
    <row r="173" customFormat="false" ht="15" hidden="false" customHeight="false" outlineLevel="0" collapsed="false">
      <c r="A173" s="0" t="n">
        <v>206</v>
      </c>
      <c r="B173" s="0" t="s">
        <v>661</v>
      </c>
      <c r="C173" s="0" t="s">
        <v>130</v>
      </c>
      <c r="D173" s="0" t="s">
        <v>571</v>
      </c>
      <c r="E173" s="0" t="s">
        <v>138</v>
      </c>
      <c r="F173" s="0" t="s">
        <v>662</v>
      </c>
      <c r="G173" s="0" t="s">
        <v>35</v>
      </c>
      <c r="H173" s="0" t="s">
        <v>663</v>
      </c>
      <c r="I173" s="0" t="n">
        <v>1</v>
      </c>
      <c r="J173" s="0" t="n">
        <v>1709.6</v>
      </c>
      <c r="K173" s="0" t="n">
        <v>1054.83</v>
      </c>
    </row>
    <row r="174" customFormat="false" ht="15" hidden="false" customHeight="false" outlineLevel="0" collapsed="false">
      <c r="A174" s="0" t="n">
        <v>225</v>
      </c>
      <c r="B174" s="0" t="s">
        <v>664</v>
      </c>
      <c r="C174" s="0" t="s">
        <v>240</v>
      </c>
      <c r="D174" s="0" t="s">
        <v>80</v>
      </c>
      <c r="E174" s="0" t="s">
        <v>76</v>
      </c>
      <c r="F174" s="0" t="s">
        <v>108</v>
      </c>
      <c r="G174" s="0" t="s">
        <v>35</v>
      </c>
      <c r="H174" s="0" t="s">
        <v>647</v>
      </c>
      <c r="I174" s="0" t="n">
        <v>1</v>
      </c>
      <c r="J174" s="0" t="n">
        <v>384.8</v>
      </c>
      <c r="K174" s="0" t="n">
        <v>281.29</v>
      </c>
    </row>
    <row r="175" customFormat="false" ht="15" hidden="false" customHeight="false" outlineLevel="0" collapsed="false">
      <c r="A175" s="0" t="n">
        <v>196</v>
      </c>
      <c r="B175" s="0" t="s">
        <v>665</v>
      </c>
      <c r="C175" s="0" t="s">
        <v>666</v>
      </c>
      <c r="D175" s="0" t="s">
        <v>667</v>
      </c>
      <c r="E175" s="0" t="s">
        <v>668</v>
      </c>
      <c r="F175" s="0" t="s">
        <v>346</v>
      </c>
      <c r="G175" s="0" t="s">
        <v>35</v>
      </c>
      <c r="H175" s="0" t="s">
        <v>266</v>
      </c>
      <c r="I175" s="0" t="n">
        <v>2</v>
      </c>
      <c r="J175" s="0" t="n">
        <v>2705.21</v>
      </c>
      <c r="K175" s="0" t="n">
        <v>1550.98</v>
      </c>
      <c r="L175" s="0" t="s">
        <v>301</v>
      </c>
    </row>
    <row r="176" customFormat="false" ht="15" hidden="false" customHeight="false" outlineLevel="0" collapsed="false">
      <c r="A176" s="0" t="n">
        <v>281</v>
      </c>
      <c r="B176" s="0" t="s">
        <v>669</v>
      </c>
      <c r="C176" s="0" t="s">
        <v>670</v>
      </c>
      <c r="D176" s="0" t="s">
        <v>157</v>
      </c>
      <c r="E176" s="0" t="s">
        <v>552</v>
      </c>
      <c r="F176" s="0" t="s">
        <v>277</v>
      </c>
      <c r="G176" s="0" t="s">
        <v>35</v>
      </c>
      <c r="H176" s="0" t="s">
        <v>589</v>
      </c>
      <c r="I176" s="0" t="n">
        <v>1</v>
      </c>
      <c r="J176" s="0" t="n">
        <v>1399.74</v>
      </c>
      <c r="K176" s="0" t="n">
        <v>836.51</v>
      </c>
    </row>
    <row r="177" customFormat="false" ht="15" hidden="false" customHeight="false" outlineLevel="0" collapsed="false">
      <c r="A177" s="0" t="n">
        <v>110</v>
      </c>
      <c r="B177" s="0" t="s">
        <v>671</v>
      </c>
      <c r="C177" s="0" t="s">
        <v>369</v>
      </c>
      <c r="D177" s="0" t="s">
        <v>672</v>
      </c>
      <c r="E177" s="0" t="s">
        <v>496</v>
      </c>
      <c r="F177" s="0" t="s">
        <v>299</v>
      </c>
      <c r="G177" s="0" t="s">
        <v>35</v>
      </c>
      <c r="H177" s="0" t="s">
        <v>570</v>
      </c>
      <c r="I177" s="0" t="n">
        <v>1</v>
      </c>
      <c r="J177" s="0" t="n">
        <v>3813.32</v>
      </c>
      <c r="K177" s="0" t="n">
        <v>2321.09</v>
      </c>
    </row>
    <row r="178" customFormat="false" ht="15" hidden="false" customHeight="false" outlineLevel="0" collapsed="false">
      <c r="A178" s="0" t="n">
        <v>119</v>
      </c>
      <c r="B178" s="0" t="s">
        <v>673</v>
      </c>
      <c r="C178" s="0" t="s">
        <v>674</v>
      </c>
      <c r="D178" s="0" t="s">
        <v>392</v>
      </c>
      <c r="E178" s="0" t="s">
        <v>560</v>
      </c>
      <c r="F178" s="0" t="s">
        <v>192</v>
      </c>
      <c r="G178" s="0" t="s">
        <v>54</v>
      </c>
      <c r="H178" s="0" t="s">
        <v>613</v>
      </c>
      <c r="I178" s="0" t="n">
        <v>1</v>
      </c>
      <c r="J178" s="0" t="n">
        <v>2209.14</v>
      </c>
      <c r="K178" s="0" t="n">
        <v>1601.17</v>
      </c>
    </row>
    <row r="179" customFormat="false" ht="15" hidden="false" customHeight="false" outlineLevel="0" collapsed="false">
      <c r="A179" s="0" t="n">
        <v>266</v>
      </c>
      <c r="B179" s="0" t="s">
        <v>675</v>
      </c>
      <c r="C179" s="0" t="s">
        <v>296</v>
      </c>
      <c r="D179" s="0" t="s">
        <v>324</v>
      </c>
      <c r="E179" s="0" t="s">
        <v>400</v>
      </c>
      <c r="F179" s="0" t="s">
        <v>238</v>
      </c>
      <c r="G179" s="0" t="s">
        <v>54</v>
      </c>
      <c r="H179" s="0" t="s">
        <v>507</v>
      </c>
      <c r="I179" s="0" t="n">
        <v>1</v>
      </c>
      <c r="J179" s="0" t="n">
        <v>103.2</v>
      </c>
      <c r="K179" s="0" t="n">
        <v>63.47</v>
      </c>
    </row>
    <row r="180" customFormat="false" ht="15" hidden="false" customHeight="false" outlineLevel="0" collapsed="false">
      <c r="A180" s="0" t="n">
        <v>335</v>
      </c>
      <c r="B180" s="0" t="s">
        <v>676</v>
      </c>
      <c r="C180" s="0" t="s">
        <v>220</v>
      </c>
      <c r="D180" s="0" t="s">
        <v>285</v>
      </c>
      <c r="E180" s="0" t="s">
        <v>388</v>
      </c>
      <c r="F180" s="0" t="s">
        <v>114</v>
      </c>
      <c r="G180" s="0" t="s">
        <v>35</v>
      </c>
      <c r="H180" s="0" t="s">
        <v>677</v>
      </c>
      <c r="I180" s="0" t="n">
        <v>1</v>
      </c>
      <c r="J180" s="0" t="n">
        <v>423.8</v>
      </c>
      <c r="K180" s="0" t="n">
        <v>234.31</v>
      </c>
    </row>
    <row r="181" customFormat="false" ht="15" hidden="false" customHeight="false" outlineLevel="0" collapsed="false">
      <c r="A181" s="0" t="n">
        <v>7</v>
      </c>
      <c r="B181" s="0" t="s">
        <v>678</v>
      </c>
      <c r="C181" s="0" t="s">
        <v>474</v>
      </c>
      <c r="D181" s="0" t="s">
        <v>210</v>
      </c>
      <c r="E181" s="0" t="s">
        <v>679</v>
      </c>
      <c r="F181" s="0" t="s">
        <v>680</v>
      </c>
      <c r="G181" s="0" t="s">
        <v>35</v>
      </c>
      <c r="H181" s="0" t="s">
        <v>592</v>
      </c>
      <c r="I181" s="0" t="n">
        <v>1</v>
      </c>
      <c r="J181" s="0" t="n">
        <v>5722.79</v>
      </c>
      <c r="K181" s="0" t="n">
        <v>3435.6</v>
      </c>
    </row>
    <row r="182" customFormat="false" ht="15" hidden="false" customHeight="false" outlineLevel="0" collapsed="false">
      <c r="A182" s="0" t="n">
        <v>311</v>
      </c>
      <c r="B182" s="0" t="s">
        <v>681</v>
      </c>
      <c r="C182" s="0" t="s">
        <v>146</v>
      </c>
      <c r="D182" s="0" t="s">
        <v>682</v>
      </c>
      <c r="E182" s="0" t="s">
        <v>148</v>
      </c>
      <c r="F182" s="0" t="s">
        <v>333</v>
      </c>
      <c r="G182" s="0" t="s">
        <v>35</v>
      </c>
      <c r="H182" s="0" t="s">
        <v>683</v>
      </c>
      <c r="I182" s="0" t="n">
        <v>1</v>
      </c>
      <c r="J182" s="0" t="n">
        <v>1141.45</v>
      </c>
      <c r="K182" s="0" t="n">
        <v>868.63</v>
      </c>
    </row>
    <row r="183" customFormat="false" ht="15" hidden="false" customHeight="false" outlineLevel="0" collapsed="false">
      <c r="A183" s="0" t="n">
        <v>248</v>
      </c>
      <c r="B183" s="0" t="s">
        <v>684</v>
      </c>
      <c r="C183" s="0" t="s">
        <v>685</v>
      </c>
      <c r="D183" s="0" t="s">
        <v>651</v>
      </c>
      <c r="E183" s="0" t="s">
        <v>686</v>
      </c>
      <c r="F183" s="0" t="s">
        <v>47</v>
      </c>
      <c r="G183" s="0" t="s">
        <v>54</v>
      </c>
      <c r="H183" s="0" t="s">
        <v>580</v>
      </c>
      <c r="I183" s="0" t="n">
        <v>1</v>
      </c>
      <c r="J183" s="0" t="n">
        <v>3226.86</v>
      </c>
      <c r="K183" s="0" t="n">
        <v>2269.1</v>
      </c>
    </row>
    <row r="184" customFormat="false" ht="15" hidden="false" customHeight="false" outlineLevel="0" collapsed="false">
      <c r="A184" s="0" t="n">
        <v>197</v>
      </c>
      <c r="B184" s="0" t="s">
        <v>665</v>
      </c>
      <c r="C184" s="0" t="s">
        <v>687</v>
      </c>
      <c r="D184" s="0" t="s">
        <v>534</v>
      </c>
      <c r="E184" s="0" t="s">
        <v>479</v>
      </c>
      <c r="F184" s="0" t="s">
        <v>143</v>
      </c>
      <c r="G184" s="0" t="s">
        <v>35</v>
      </c>
      <c r="H184" s="0" t="s">
        <v>688</v>
      </c>
      <c r="I184" s="0" t="n">
        <v>2</v>
      </c>
      <c r="J184" s="0" t="n">
        <v>3026.81</v>
      </c>
      <c r="K184" s="0" t="n">
        <v>1690.48</v>
      </c>
      <c r="L184" s="0" t="s">
        <v>301</v>
      </c>
    </row>
    <row r="185" customFormat="false" ht="15" hidden="false" customHeight="false" outlineLevel="0" collapsed="false">
      <c r="A185" s="0" t="n">
        <v>229</v>
      </c>
      <c r="B185" s="0" t="s">
        <v>418</v>
      </c>
      <c r="C185" s="0" t="s">
        <v>562</v>
      </c>
      <c r="D185" s="0" t="s">
        <v>563</v>
      </c>
      <c r="E185" s="0" t="s">
        <v>564</v>
      </c>
      <c r="F185" s="0" t="s">
        <v>277</v>
      </c>
      <c r="G185" s="0" t="s">
        <v>35</v>
      </c>
      <c r="H185" s="0" t="s">
        <v>565</v>
      </c>
      <c r="I185" s="0" t="n">
        <v>1</v>
      </c>
      <c r="J185" s="0" t="n">
        <v>464.85</v>
      </c>
      <c r="K185" s="0" t="n">
        <v>275.01</v>
      </c>
    </row>
    <row r="186" customFormat="false" ht="15" hidden="false" customHeight="false" outlineLevel="0" collapsed="false">
      <c r="A186" s="0" t="n">
        <v>261</v>
      </c>
      <c r="B186" s="0" t="s">
        <v>689</v>
      </c>
      <c r="C186" s="0" t="s">
        <v>411</v>
      </c>
      <c r="D186" s="0" t="s">
        <v>64</v>
      </c>
      <c r="E186" s="0" t="s">
        <v>408</v>
      </c>
      <c r="F186" s="0" t="s">
        <v>47</v>
      </c>
      <c r="G186" s="0" t="s">
        <v>35</v>
      </c>
      <c r="H186" s="0" t="s">
        <v>334</v>
      </c>
      <c r="I186" s="0" t="n">
        <v>1</v>
      </c>
      <c r="J186" s="0" t="n">
        <v>458</v>
      </c>
      <c r="K186" s="0" t="n">
        <v>348.67</v>
      </c>
    </row>
    <row r="187" customFormat="false" ht="15" hidden="false" customHeight="false" outlineLevel="0" collapsed="false">
      <c r="A187" s="0" t="n">
        <v>192</v>
      </c>
      <c r="B187" s="0" t="s">
        <v>690</v>
      </c>
      <c r="C187" s="0" t="s">
        <v>691</v>
      </c>
      <c r="D187" s="0" t="s">
        <v>692</v>
      </c>
      <c r="E187" s="0" t="s">
        <v>252</v>
      </c>
      <c r="F187" s="0" t="s">
        <v>212</v>
      </c>
      <c r="G187" s="0" t="s">
        <v>35</v>
      </c>
      <c r="H187" s="0" t="s">
        <v>693</v>
      </c>
      <c r="I187" s="0" t="n">
        <v>1</v>
      </c>
      <c r="J187" s="0" t="n">
        <v>75.82</v>
      </c>
      <c r="K187" s="0" t="n">
        <v>45.17</v>
      </c>
    </row>
    <row r="188" customFormat="false" ht="15" hidden="false" customHeight="false" outlineLevel="0" collapsed="false">
      <c r="A188" s="0" t="n">
        <v>414</v>
      </c>
      <c r="B188" s="0" t="s">
        <v>694</v>
      </c>
      <c r="C188" s="0" t="s">
        <v>296</v>
      </c>
      <c r="D188" s="0" t="s">
        <v>695</v>
      </c>
      <c r="E188" s="0" t="s">
        <v>71</v>
      </c>
      <c r="F188" s="0" t="s">
        <v>450</v>
      </c>
      <c r="G188" s="0" t="s">
        <v>35</v>
      </c>
      <c r="H188" s="0" t="s">
        <v>696</v>
      </c>
      <c r="I188" s="0" t="n">
        <v>1</v>
      </c>
      <c r="J188" s="0" t="n">
        <v>950.21</v>
      </c>
      <c r="K188" s="0" t="n">
        <v>597.98</v>
      </c>
    </row>
    <row r="189" customFormat="false" ht="15" hidden="false" customHeight="false" outlineLevel="0" collapsed="false">
      <c r="A189" s="0" t="n">
        <v>244</v>
      </c>
      <c r="B189" s="0" t="s">
        <v>697</v>
      </c>
      <c r="C189" s="0" t="s">
        <v>543</v>
      </c>
      <c r="D189" s="0" t="s">
        <v>698</v>
      </c>
      <c r="E189" s="0" t="s">
        <v>699</v>
      </c>
      <c r="F189" s="0" t="s">
        <v>609</v>
      </c>
      <c r="G189" s="0" t="s">
        <v>35</v>
      </c>
      <c r="H189" s="0" t="s">
        <v>700</v>
      </c>
      <c r="I189" s="0" t="n">
        <v>1</v>
      </c>
      <c r="J189" s="0" t="n">
        <v>141.33</v>
      </c>
      <c r="K189" s="0" t="n">
        <v>85.08</v>
      </c>
    </row>
    <row r="190" customFormat="false" ht="15" hidden="false" customHeight="false" outlineLevel="0" collapsed="false">
      <c r="A190" s="0" t="n">
        <v>382</v>
      </c>
      <c r="B190" s="0" t="s">
        <v>476</v>
      </c>
      <c r="C190" s="0" t="s">
        <v>296</v>
      </c>
      <c r="D190" s="0" t="s">
        <v>536</v>
      </c>
      <c r="E190" s="0" t="s">
        <v>621</v>
      </c>
      <c r="F190" s="0" t="s">
        <v>92</v>
      </c>
      <c r="G190" s="0" t="s">
        <v>35</v>
      </c>
      <c r="H190" s="0" t="s">
        <v>224</v>
      </c>
      <c r="I190" s="0" t="n">
        <v>1</v>
      </c>
      <c r="J190" s="0" t="n">
        <v>3304.71</v>
      </c>
      <c r="K190" s="0" t="n">
        <v>1982.25</v>
      </c>
    </row>
    <row r="191" customFormat="false" ht="15" hidden="false" customHeight="false" outlineLevel="0" collapsed="false">
      <c r="A191" s="0" t="n">
        <v>4</v>
      </c>
      <c r="B191" s="0" t="s">
        <v>701</v>
      </c>
      <c r="C191" s="0" t="s">
        <v>50</v>
      </c>
      <c r="D191" s="0" t="s">
        <v>157</v>
      </c>
      <c r="E191" s="0" t="s">
        <v>237</v>
      </c>
      <c r="F191" s="0" t="s">
        <v>299</v>
      </c>
      <c r="G191" s="0" t="s">
        <v>35</v>
      </c>
      <c r="H191" s="0" t="s">
        <v>702</v>
      </c>
      <c r="I191" s="0" t="n">
        <v>1</v>
      </c>
      <c r="J191" s="0" t="n">
        <v>1889.57</v>
      </c>
      <c r="K191" s="0" t="n">
        <v>1288.57</v>
      </c>
    </row>
    <row r="192" customFormat="false" ht="15" hidden="false" customHeight="false" outlineLevel="0" collapsed="false">
      <c r="A192" s="0" t="n">
        <v>205</v>
      </c>
      <c r="B192" s="0" t="s">
        <v>703</v>
      </c>
      <c r="C192" s="0" t="s">
        <v>50</v>
      </c>
      <c r="D192" s="0" t="s">
        <v>536</v>
      </c>
      <c r="E192" s="0" t="s">
        <v>591</v>
      </c>
      <c r="F192" s="0" t="s">
        <v>192</v>
      </c>
      <c r="G192" s="0" t="s">
        <v>35</v>
      </c>
      <c r="H192" s="0" t="s">
        <v>704</v>
      </c>
      <c r="I192" s="0" t="n">
        <v>2</v>
      </c>
      <c r="J192" s="0" t="n">
        <v>3809.85</v>
      </c>
      <c r="K192" s="0" t="n">
        <v>2366.66</v>
      </c>
    </row>
    <row r="193" customFormat="false" ht="15" hidden="false" customHeight="false" outlineLevel="0" collapsed="false">
      <c r="A193" s="0" t="n">
        <v>123</v>
      </c>
      <c r="B193" s="0" t="s">
        <v>705</v>
      </c>
      <c r="C193" s="0" t="s">
        <v>706</v>
      </c>
      <c r="D193" s="0" t="s">
        <v>32</v>
      </c>
      <c r="E193" s="0" t="s">
        <v>332</v>
      </c>
      <c r="F193" s="0" t="s">
        <v>362</v>
      </c>
      <c r="G193" s="0" t="s">
        <v>35</v>
      </c>
      <c r="H193" s="0" t="s">
        <v>419</v>
      </c>
      <c r="I193" s="0" t="n">
        <v>1</v>
      </c>
      <c r="J193" s="0" t="n">
        <v>325.15</v>
      </c>
      <c r="K193" s="0" t="n">
        <v>187.36</v>
      </c>
    </row>
    <row r="194" customFormat="false" ht="15" hidden="false" customHeight="false" outlineLevel="0" collapsed="false">
      <c r="A194" s="0" t="n">
        <v>79</v>
      </c>
      <c r="B194" s="0" t="s">
        <v>707</v>
      </c>
      <c r="C194" s="0" t="s">
        <v>141</v>
      </c>
      <c r="D194" s="0" t="s">
        <v>126</v>
      </c>
      <c r="E194" s="0" t="s">
        <v>132</v>
      </c>
      <c r="F194" s="0" t="s">
        <v>133</v>
      </c>
      <c r="G194" s="0" t="s">
        <v>35</v>
      </c>
      <c r="H194" s="0" t="s">
        <v>708</v>
      </c>
      <c r="I194" s="0" t="n">
        <v>0</v>
      </c>
      <c r="J194" s="0" t="n">
        <v>5254.21</v>
      </c>
      <c r="K194" s="0" t="n">
        <v>3678.57</v>
      </c>
    </row>
    <row r="195" customFormat="false" ht="15" hidden="false" customHeight="false" outlineLevel="0" collapsed="false">
      <c r="A195" s="0" t="n">
        <v>343</v>
      </c>
      <c r="B195" s="0" t="s">
        <v>709</v>
      </c>
      <c r="C195" s="0" t="s">
        <v>710</v>
      </c>
      <c r="D195" s="0" t="s">
        <v>285</v>
      </c>
      <c r="E195" s="0" t="s">
        <v>286</v>
      </c>
      <c r="F195" s="0" t="s">
        <v>299</v>
      </c>
      <c r="G195" s="0" t="s">
        <v>35</v>
      </c>
      <c r="H195" s="0" t="s">
        <v>711</v>
      </c>
      <c r="I195" s="0" t="n">
        <v>1</v>
      </c>
      <c r="J195" s="0" t="n">
        <v>727.72</v>
      </c>
      <c r="K195" s="0" t="n">
        <v>442.74</v>
      </c>
    </row>
    <row r="196" customFormat="false" ht="15" hidden="false" customHeight="false" outlineLevel="0" collapsed="false">
      <c r="A196" s="0" t="n">
        <v>283</v>
      </c>
      <c r="B196" s="0" t="s">
        <v>712</v>
      </c>
      <c r="C196" s="0" t="s">
        <v>713</v>
      </c>
      <c r="D196" s="0" t="s">
        <v>246</v>
      </c>
      <c r="E196" s="0" t="s">
        <v>158</v>
      </c>
      <c r="F196" s="0" t="s">
        <v>92</v>
      </c>
      <c r="G196" s="0" t="s">
        <v>35</v>
      </c>
      <c r="H196" s="0" t="s">
        <v>714</v>
      </c>
      <c r="I196" s="0" t="n">
        <v>1</v>
      </c>
      <c r="J196" s="0" t="n">
        <v>3783.59</v>
      </c>
    </row>
    <row r="197" customFormat="false" ht="15" hidden="false" customHeight="false" outlineLevel="0" collapsed="false">
      <c r="A197" s="0" t="n">
        <v>65</v>
      </c>
      <c r="B197" s="0" t="s">
        <v>292</v>
      </c>
      <c r="C197" s="0" t="s">
        <v>485</v>
      </c>
      <c r="D197" s="0" t="s">
        <v>256</v>
      </c>
      <c r="E197" s="0" t="s">
        <v>341</v>
      </c>
      <c r="F197" s="0" t="s">
        <v>108</v>
      </c>
      <c r="G197" s="0" t="s">
        <v>54</v>
      </c>
      <c r="H197" s="0" t="s">
        <v>597</v>
      </c>
      <c r="I197" s="0" t="n">
        <v>1</v>
      </c>
      <c r="J197" s="0" t="n">
        <v>2500.55</v>
      </c>
      <c r="K197" s="0" t="n">
        <v>1468.97</v>
      </c>
    </row>
    <row r="198" customFormat="false" ht="15" hidden="false" customHeight="false" outlineLevel="0" collapsed="false">
      <c r="A198" s="0" t="n">
        <v>19</v>
      </c>
      <c r="B198" s="0" t="s">
        <v>715</v>
      </c>
      <c r="C198" s="0" t="s">
        <v>340</v>
      </c>
      <c r="D198" s="0" t="s">
        <v>571</v>
      </c>
      <c r="E198" s="0" t="s">
        <v>384</v>
      </c>
      <c r="F198" s="0" t="s">
        <v>66</v>
      </c>
      <c r="G198" s="0" t="s">
        <v>35</v>
      </c>
      <c r="H198" s="0" t="s">
        <v>716</v>
      </c>
      <c r="I198" s="0" t="n">
        <v>2</v>
      </c>
      <c r="J198" s="0" t="n">
        <v>4310.27</v>
      </c>
      <c r="K198" s="0" t="n">
        <v>2778.3</v>
      </c>
    </row>
    <row r="199" customFormat="false" ht="15" hidden="false" customHeight="false" outlineLevel="0" collapsed="false">
      <c r="A199" s="0" t="n">
        <v>368</v>
      </c>
      <c r="B199" s="0" t="s">
        <v>717</v>
      </c>
      <c r="C199" s="0" t="s">
        <v>718</v>
      </c>
      <c r="D199" s="0" t="s">
        <v>310</v>
      </c>
      <c r="E199" s="0" t="s">
        <v>293</v>
      </c>
      <c r="F199" s="0" t="s">
        <v>299</v>
      </c>
      <c r="G199" s="0" t="s">
        <v>54</v>
      </c>
      <c r="H199" s="0" t="s">
        <v>719</v>
      </c>
      <c r="I199" s="0" t="n">
        <v>1</v>
      </c>
      <c r="J199" s="0" t="n">
        <v>248.31</v>
      </c>
      <c r="K199" s="0" t="n">
        <v>167.8</v>
      </c>
    </row>
    <row r="200" customFormat="false" ht="15" hidden="false" customHeight="false" outlineLevel="0" collapsed="false">
      <c r="A200" s="0" t="n">
        <v>152</v>
      </c>
      <c r="B200" s="0" t="s">
        <v>720</v>
      </c>
      <c r="C200" s="0" t="s">
        <v>318</v>
      </c>
      <c r="D200" s="0" t="s">
        <v>721</v>
      </c>
      <c r="E200" s="0" t="s">
        <v>365</v>
      </c>
      <c r="F200" s="0" t="s">
        <v>450</v>
      </c>
      <c r="G200" s="0" t="s">
        <v>35</v>
      </c>
      <c r="H200" s="0" t="s">
        <v>55</v>
      </c>
      <c r="I200" s="0" t="n">
        <v>1</v>
      </c>
      <c r="J200" s="0" t="n">
        <v>2433.72</v>
      </c>
      <c r="K200" s="0" t="n">
        <v>1518.55</v>
      </c>
    </row>
    <row r="201" customFormat="false" ht="15" hidden="false" customHeight="false" outlineLevel="0" collapsed="false">
      <c r="A201" s="0" t="n">
        <v>350</v>
      </c>
      <c r="B201" s="0" t="s">
        <v>453</v>
      </c>
      <c r="C201" s="0" t="s">
        <v>454</v>
      </c>
      <c r="D201" s="0" t="s">
        <v>455</v>
      </c>
      <c r="E201" s="0" t="s">
        <v>456</v>
      </c>
      <c r="F201" s="0" t="s">
        <v>119</v>
      </c>
      <c r="G201" s="0" t="s">
        <v>54</v>
      </c>
      <c r="H201" s="0" t="s">
        <v>389</v>
      </c>
      <c r="I201" s="0" t="n">
        <v>1</v>
      </c>
      <c r="J201" s="0" t="n">
        <v>739.18</v>
      </c>
      <c r="K201" s="0" t="n">
        <v>543.58</v>
      </c>
    </row>
    <row r="202" customFormat="false" ht="15" hidden="false" customHeight="false" outlineLevel="0" collapsed="false">
      <c r="A202" s="0" t="n">
        <v>44</v>
      </c>
      <c r="B202" s="0" t="s">
        <v>654</v>
      </c>
      <c r="C202" s="0" t="s">
        <v>722</v>
      </c>
      <c r="D202" s="0" t="s">
        <v>515</v>
      </c>
      <c r="E202" s="0" t="s">
        <v>576</v>
      </c>
      <c r="F202" s="0" t="s">
        <v>299</v>
      </c>
      <c r="G202" s="0" t="s">
        <v>35</v>
      </c>
      <c r="H202" s="0" t="s">
        <v>224</v>
      </c>
      <c r="I202" s="0" t="n">
        <v>1</v>
      </c>
      <c r="J202" s="0" t="n">
        <v>167.09</v>
      </c>
      <c r="K202" s="0" t="n">
        <v>125.27</v>
      </c>
    </row>
    <row r="203" customFormat="false" ht="15" hidden="false" customHeight="false" outlineLevel="0" collapsed="false">
      <c r="A203" s="0" t="n">
        <v>181</v>
      </c>
      <c r="B203" s="0" t="s">
        <v>427</v>
      </c>
      <c r="C203" s="0" t="s">
        <v>85</v>
      </c>
      <c r="D203" s="0" t="s">
        <v>723</v>
      </c>
      <c r="E203" s="0" t="s">
        <v>612</v>
      </c>
      <c r="F203" s="0" t="s">
        <v>53</v>
      </c>
      <c r="G203" s="0" t="s">
        <v>35</v>
      </c>
      <c r="H203" s="0" t="s">
        <v>724</v>
      </c>
      <c r="I203" s="0" t="n">
        <v>1</v>
      </c>
      <c r="J203" s="0" t="n">
        <v>2538.97</v>
      </c>
      <c r="K203" s="0" t="n">
        <v>1550.62</v>
      </c>
    </row>
    <row r="204" customFormat="false" ht="15" hidden="false" customHeight="false" outlineLevel="0" collapsed="false">
      <c r="A204" s="0" t="n">
        <v>306</v>
      </c>
      <c r="B204" s="0" t="s">
        <v>725</v>
      </c>
      <c r="C204" s="0" t="s">
        <v>435</v>
      </c>
      <c r="D204" s="0" t="s">
        <v>726</v>
      </c>
      <c r="E204" s="0" t="s">
        <v>469</v>
      </c>
      <c r="F204" s="0" t="s">
        <v>179</v>
      </c>
      <c r="G204" s="0" t="s">
        <v>54</v>
      </c>
      <c r="H204" s="0" t="s">
        <v>727</v>
      </c>
      <c r="I204" s="0" t="n">
        <v>2</v>
      </c>
      <c r="J204" s="0" t="n">
        <v>275.4</v>
      </c>
      <c r="K204" s="0" t="n">
        <v>171.01</v>
      </c>
    </row>
    <row r="205" customFormat="false" ht="15" hidden="false" customHeight="false" outlineLevel="0" collapsed="false">
      <c r="A205" s="0" t="n">
        <v>164</v>
      </c>
      <c r="B205" s="0" t="s">
        <v>728</v>
      </c>
      <c r="C205" s="0" t="s">
        <v>403</v>
      </c>
      <c r="D205" s="0" t="s">
        <v>638</v>
      </c>
      <c r="E205" s="0" t="s">
        <v>332</v>
      </c>
      <c r="F205" s="0" t="s">
        <v>179</v>
      </c>
      <c r="G205" s="0" t="s">
        <v>35</v>
      </c>
      <c r="H205" s="0" t="s">
        <v>507</v>
      </c>
      <c r="I205" s="0" t="n">
        <v>1</v>
      </c>
      <c r="J205" s="0" t="n">
        <v>228.87</v>
      </c>
      <c r="K205" s="0" t="n">
        <v>126.95</v>
      </c>
    </row>
    <row r="206" customFormat="false" ht="15" hidden="false" customHeight="false" outlineLevel="0" collapsed="false">
      <c r="A206" s="0" t="n">
        <v>362</v>
      </c>
      <c r="B206" s="0" t="s">
        <v>729</v>
      </c>
      <c r="C206" s="0" t="s">
        <v>166</v>
      </c>
      <c r="D206" s="0" t="s">
        <v>147</v>
      </c>
      <c r="E206" s="0" t="s">
        <v>96</v>
      </c>
      <c r="F206" s="0" t="s">
        <v>287</v>
      </c>
      <c r="G206" s="0" t="s">
        <v>35</v>
      </c>
      <c r="H206" s="0" t="s">
        <v>730</v>
      </c>
      <c r="I206" s="0" t="n">
        <v>2</v>
      </c>
      <c r="J206" s="0" t="n">
        <v>2521.79</v>
      </c>
      <c r="K206" s="0" t="n">
        <v>1519.4</v>
      </c>
    </row>
    <row r="207" customFormat="false" ht="15" hidden="false" customHeight="false" outlineLevel="0" collapsed="false">
      <c r="A207" s="0" t="n">
        <v>141</v>
      </c>
      <c r="B207" s="0" t="s">
        <v>731</v>
      </c>
      <c r="C207" s="0" t="s">
        <v>89</v>
      </c>
      <c r="D207" s="0" t="s">
        <v>126</v>
      </c>
      <c r="E207" s="0" t="s">
        <v>496</v>
      </c>
      <c r="F207" s="0" t="s">
        <v>41</v>
      </c>
      <c r="G207" s="0" t="s">
        <v>35</v>
      </c>
      <c r="H207" s="0" t="s">
        <v>732</v>
      </c>
      <c r="I207" s="0" t="n">
        <v>1</v>
      </c>
      <c r="J207" s="0" t="n">
        <v>2953.35</v>
      </c>
      <c r="K207" s="0" t="n">
        <v>2227.37</v>
      </c>
    </row>
    <row r="208" customFormat="false" ht="15" hidden="false" customHeight="false" outlineLevel="0" collapsed="false">
      <c r="A208" s="0" t="n">
        <v>395</v>
      </c>
      <c r="B208" s="0" t="s">
        <v>733</v>
      </c>
      <c r="C208" s="0" t="s">
        <v>734</v>
      </c>
      <c r="D208" s="0" t="s">
        <v>310</v>
      </c>
      <c r="E208" s="0" t="s">
        <v>40</v>
      </c>
      <c r="F208" s="0" t="s">
        <v>72</v>
      </c>
      <c r="G208" s="0" t="s">
        <v>35</v>
      </c>
      <c r="H208" s="0" t="s">
        <v>735</v>
      </c>
      <c r="I208" s="0" t="n">
        <v>1</v>
      </c>
      <c r="J208" s="0" t="n">
        <v>325.28</v>
      </c>
      <c r="K208" s="0" t="n">
        <v>233.4</v>
      </c>
    </row>
    <row r="209" customFormat="false" ht="15" hidden="false" customHeight="false" outlineLevel="0" collapsed="false">
      <c r="A209" s="0" t="n">
        <v>410</v>
      </c>
      <c r="B209" s="0" t="s">
        <v>736</v>
      </c>
      <c r="C209" s="0" t="s">
        <v>411</v>
      </c>
      <c r="D209" s="0" t="s">
        <v>221</v>
      </c>
      <c r="E209" s="0" t="s">
        <v>737</v>
      </c>
      <c r="F209" s="0" t="s">
        <v>223</v>
      </c>
      <c r="G209" s="0" t="s">
        <v>35</v>
      </c>
      <c r="H209" s="0" t="s">
        <v>558</v>
      </c>
      <c r="I209" s="0" t="n">
        <v>1</v>
      </c>
      <c r="J209" s="0" t="n">
        <v>2878.8</v>
      </c>
      <c r="K209" s="0" t="n">
        <v>1861.58</v>
      </c>
    </row>
    <row r="210" customFormat="false" ht="15" hidden="false" customHeight="false" outlineLevel="0" collapsed="false">
      <c r="A210" s="0" t="n">
        <v>61</v>
      </c>
      <c r="B210" s="0" t="s">
        <v>738</v>
      </c>
      <c r="C210" s="0" t="s">
        <v>474</v>
      </c>
      <c r="D210" s="0" t="s">
        <v>739</v>
      </c>
      <c r="E210" s="0" t="s">
        <v>740</v>
      </c>
      <c r="F210" s="0" t="s">
        <v>41</v>
      </c>
      <c r="G210" s="0" t="s">
        <v>35</v>
      </c>
      <c r="H210" s="0" t="s">
        <v>741</v>
      </c>
      <c r="I210" s="0" t="n">
        <v>0</v>
      </c>
      <c r="J210" s="0" t="n">
        <v>101.03</v>
      </c>
      <c r="K210" s="0" t="n">
        <v>66.32</v>
      </c>
    </row>
    <row r="211" customFormat="false" ht="15" hidden="false" customHeight="false" outlineLevel="0" collapsed="false">
      <c r="A211" s="0" t="n">
        <v>345</v>
      </c>
      <c r="B211" s="0" t="s">
        <v>742</v>
      </c>
      <c r="C211" s="0" t="s">
        <v>743</v>
      </c>
      <c r="D211" s="0" t="s">
        <v>137</v>
      </c>
      <c r="E211" s="0" t="s">
        <v>429</v>
      </c>
      <c r="F211" s="0" t="s">
        <v>108</v>
      </c>
      <c r="G211" s="0" t="s">
        <v>35</v>
      </c>
      <c r="H211" s="0" t="s">
        <v>744</v>
      </c>
      <c r="I211" s="0" t="n">
        <v>2</v>
      </c>
      <c r="J211" s="0" t="n">
        <v>4179.55</v>
      </c>
      <c r="K211" s="0" t="n">
        <v>2618.06</v>
      </c>
    </row>
    <row r="212" customFormat="false" ht="15" hidden="false" customHeight="false" outlineLevel="0" collapsed="false">
      <c r="A212" s="0" t="n">
        <v>322</v>
      </c>
      <c r="B212" s="0" t="s">
        <v>646</v>
      </c>
      <c r="C212" s="0" t="s">
        <v>607</v>
      </c>
      <c r="D212" s="0" t="s">
        <v>182</v>
      </c>
      <c r="E212" s="0" t="s">
        <v>745</v>
      </c>
      <c r="F212" s="0" t="s">
        <v>519</v>
      </c>
      <c r="G212" s="0" t="s">
        <v>35</v>
      </c>
      <c r="H212" s="0" t="s">
        <v>594</v>
      </c>
      <c r="I212" s="0" t="n">
        <v>1</v>
      </c>
      <c r="J212" s="0" t="n">
        <v>91.3</v>
      </c>
      <c r="K212" s="0" t="n">
        <v>59.8</v>
      </c>
    </row>
    <row r="213" customFormat="false" ht="15" hidden="false" customHeight="false" outlineLevel="0" collapsed="false">
      <c r="A213" s="0" t="n">
        <v>279</v>
      </c>
      <c r="B213" s="0" t="s">
        <v>746</v>
      </c>
      <c r="C213" s="0" t="s">
        <v>268</v>
      </c>
      <c r="D213" s="0" t="s">
        <v>692</v>
      </c>
      <c r="E213" s="0" t="s">
        <v>747</v>
      </c>
      <c r="F213" s="0" t="s">
        <v>53</v>
      </c>
      <c r="G213" s="0" t="s">
        <v>35</v>
      </c>
      <c r="H213" s="0" t="s">
        <v>357</v>
      </c>
      <c r="I213" s="0" t="n">
        <v>1</v>
      </c>
      <c r="J213" s="0" t="n">
        <v>213.7</v>
      </c>
      <c r="K213" s="0" t="n">
        <v>120.52</v>
      </c>
    </row>
    <row r="214" customFormat="false" ht="15" hidden="false" customHeight="false" outlineLevel="0" collapsed="false">
      <c r="A214" s="0" t="n">
        <v>169</v>
      </c>
      <c r="B214" s="0" t="s">
        <v>748</v>
      </c>
      <c r="C214" s="0" t="s">
        <v>268</v>
      </c>
      <c r="D214" s="0" t="s">
        <v>723</v>
      </c>
      <c r="E214" s="0" t="s">
        <v>749</v>
      </c>
      <c r="F214" s="0" t="s">
        <v>609</v>
      </c>
      <c r="G214" s="0" t="s">
        <v>35</v>
      </c>
      <c r="H214" s="0" t="s">
        <v>750</v>
      </c>
      <c r="I214" s="0" t="n">
        <v>2</v>
      </c>
      <c r="J214" s="0" t="n">
        <v>5924.9</v>
      </c>
      <c r="K214" s="0" t="n">
        <v>4340.2</v>
      </c>
    </row>
    <row r="215" customFormat="false" ht="15" hidden="false" customHeight="false" outlineLevel="0" collapsed="false">
      <c r="A215" s="0" t="n">
        <v>357</v>
      </c>
      <c r="B215" s="0" t="s">
        <v>751</v>
      </c>
      <c r="C215" s="0" t="s">
        <v>644</v>
      </c>
      <c r="D215" s="0" t="s">
        <v>290</v>
      </c>
      <c r="E215" s="0" t="s">
        <v>456</v>
      </c>
      <c r="F215" s="0" t="s">
        <v>66</v>
      </c>
      <c r="G215" s="0" t="s">
        <v>35</v>
      </c>
      <c r="H215" s="0" t="s">
        <v>752</v>
      </c>
      <c r="I215" s="0" t="n">
        <v>1</v>
      </c>
      <c r="J215" s="0" t="n">
        <v>293.49</v>
      </c>
      <c r="K215" s="0" t="n">
        <v>177.79</v>
      </c>
    </row>
    <row r="216" customFormat="false" ht="15" hidden="false" customHeight="false" outlineLevel="0" collapsed="false">
      <c r="A216" s="0" t="n">
        <v>46</v>
      </c>
      <c r="B216" s="0" t="s">
        <v>753</v>
      </c>
      <c r="C216" s="0" t="s">
        <v>403</v>
      </c>
      <c r="D216" s="0" t="s">
        <v>404</v>
      </c>
      <c r="E216" s="0" t="s">
        <v>754</v>
      </c>
      <c r="F216" s="0" t="s">
        <v>506</v>
      </c>
      <c r="G216" s="0" t="s">
        <v>35</v>
      </c>
      <c r="H216" s="0" t="s">
        <v>755</v>
      </c>
      <c r="I216" s="0" t="n">
        <v>2</v>
      </c>
      <c r="J216" s="0" t="n">
        <v>3686.57</v>
      </c>
      <c r="K216" s="0" t="n">
        <v>2263.43</v>
      </c>
    </row>
    <row r="217" customFormat="false" ht="15" hidden="false" customHeight="false" outlineLevel="0" collapsed="false">
      <c r="A217" s="0" t="n">
        <v>315</v>
      </c>
      <c r="B217" s="0" t="s">
        <v>756</v>
      </c>
      <c r="C217" s="0" t="s">
        <v>340</v>
      </c>
      <c r="D217" s="0" t="s">
        <v>739</v>
      </c>
      <c r="E217" s="0" t="s">
        <v>576</v>
      </c>
      <c r="F217" s="0" t="s">
        <v>680</v>
      </c>
      <c r="G217" s="0" t="s">
        <v>54</v>
      </c>
      <c r="H217" s="0" t="s">
        <v>757</v>
      </c>
      <c r="I217" s="0" t="n">
        <v>1</v>
      </c>
      <c r="J217" s="0" t="n">
        <v>337.1</v>
      </c>
      <c r="K217" s="0" t="n">
        <v>235.15</v>
      </c>
    </row>
    <row r="218" customFormat="false" ht="15" hidden="false" customHeight="false" outlineLevel="0" collapsed="false">
      <c r="A218" s="0" t="n">
        <v>144</v>
      </c>
      <c r="B218" s="0" t="s">
        <v>56</v>
      </c>
      <c r="C218" s="0" t="s">
        <v>63</v>
      </c>
      <c r="D218" s="0" t="s">
        <v>604</v>
      </c>
      <c r="E218" s="0" t="s">
        <v>408</v>
      </c>
      <c r="F218" s="0" t="s">
        <v>490</v>
      </c>
      <c r="G218" s="0" t="s">
        <v>35</v>
      </c>
      <c r="H218" s="0" t="s">
        <v>758</v>
      </c>
      <c r="I218" s="0" t="n">
        <v>1</v>
      </c>
      <c r="J218" s="0" t="n">
        <v>882.98</v>
      </c>
    </row>
    <row r="219" customFormat="false" ht="15" hidden="false" customHeight="false" outlineLevel="0" collapsed="false">
      <c r="A219" s="0" t="n">
        <v>252</v>
      </c>
      <c r="B219" s="0" t="s">
        <v>759</v>
      </c>
      <c r="C219" s="0" t="s">
        <v>493</v>
      </c>
      <c r="D219" s="0" t="s">
        <v>167</v>
      </c>
      <c r="E219" s="0" t="s">
        <v>760</v>
      </c>
      <c r="F219" s="0" t="s">
        <v>265</v>
      </c>
      <c r="G219" s="0" t="s">
        <v>35</v>
      </c>
      <c r="H219" s="0" t="s">
        <v>633</v>
      </c>
      <c r="I219" s="0" t="n">
        <v>1</v>
      </c>
      <c r="J219" s="0" t="n">
        <v>58.29</v>
      </c>
      <c r="K219" s="0" t="n">
        <v>36.61</v>
      </c>
    </row>
    <row r="220" customFormat="false" ht="15" hidden="false" customHeight="false" outlineLevel="0" collapsed="false">
      <c r="A220" s="0" t="n">
        <v>239</v>
      </c>
      <c r="B220" s="0" t="s">
        <v>74</v>
      </c>
      <c r="C220" s="0" t="s">
        <v>313</v>
      </c>
      <c r="D220" s="0" t="s">
        <v>761</v>
      </c>
      <c r="E220" s="0" t="s">
        <v>560</v>
      </c>
      <c r="F220" s="0" t="s">
        <v>92</v>
      </c>
      <c r="G220" s="0" t="s">
        <v>35</v>
      </c>
      <c r="H220" s="0" t="s">
        <v>547</v>
      </c>
      <c r="I220" s="0" t="n">
        <v>2</v>
      </c>
      <c r="J220" s="0" t="n">
        <v>2340.27</v>
      </c>
      <c r="K220" s="0" t="n">
        <v>1760.51</v>
      </c>
    </row>
    <row r="221" customFormat="false" ht="15" hidden="false" customHeight="false" outlineLevel="0" collapsed="false">
      <c r="A221" s="0" t="n">
        <v>42</v>
      </c>
      <c r="B221" s="0" t="s">
        <v>762</v>
      </c>
      <c r="C221" s="0" t="s">
        <v>763</v>
      </c>
      <c r="D221" s="0" t="s">
        <v>153</v>
      </c>
      <c r="E221" s="0" t="s">
        <v>764</v>
      </c>
      <c r="F221" s="0" t="s">
        <v>512</v>
      </c>
      <c r="G221" s="0" t="s">
        <v>35</v>
      </c>
      <c r="H221" s="0" t="s">
        <v>765</v>
      </c>
      <c r="I221" s="0" t="n">
        <v>1</v>
      </c>
      <c r="J221" s="0" t="n">
        <v>142.66</v>
      </c>
      <c r="K221" s="0" t="n">
        <v>94.01</v>
      </c>
    </row>
    <row r="222" customFormat="false" ht="15" hidden="false" customHeight="false" outlineLevel="0" collapsed="false">
      <c r="A222" s="0" t="n">
        <v>241</v>
      </c>
      <c r="B222" s="0" t="s">
        <v>239</v>
      </c>
      <c r="C222" s="0" t="s">
        <v>766</v>
      </c>
      <c r="D222" s="0" t="s">
        <v>478</v>
      </c>
      <c r="E222" s="0" t="s">
        <v>96</v>
      </c>
      <c r="F222" s="0" t="s">
        <v>133</v>
      </c>
      <c r="G222" s="0" t="s">
        <v>35</v>
      </c>
      <c r="H222" s="0" t="s">
        <v>767</v>
      </c>
      <c r="I222" s="0" t="n">
        <v>1</v>
      </c>
      <c r="J222" s="0" t="n">
        <v>2018.45</v>
      </c>
    </row>
    <row r="223" customFormat="false" ht="15" hidden="false" customHeight="false" outlineLevel="0" collapsed="false">
      <c r="A223" s="0" t="n">
        <v>22</v>
      </c>
      <c r="B223" s="0" t="s">
        <v>768</v>
      </c>
      <c r="C223" s="0" t="s">
        <v>743</v>
      </c>
      <c r="D223" s="0" t="s">
        <v>210</v>
      </c>
      <c r="E223" s="0" t="s">
        <v>459</v>
      </c>
      <c r="F223" s="0" t="s">
        <v>362</v>
      </c>
      <c r="G223" s="0" t="s">
        <v>35</v>
      </c>
      <c r="H223" s="0" t="s">
        <v>437</v>
      </c>
      <c r="I223" s="0" t="n">
        <v>1</v>
      </c>
      <c r="J223" s="0" t="n">
        <v>5725.45</v>
      </c>
      <c r="K223" s="0" t="n">
        <v>3259.77</v>
      </c>
    </row>
    <row r="224" customFormat="false" ht="15" hidden="false" customHeight="false" outlineLevel="0" collapsed="false">
      <c r="A224" s="0" t="n">
        <v>287</v>
      </c>
      <c r="B224" s="0" t="s">
        <v>769</v>
      </c>
      <c r="C224" s="0" t="s">
        <v>666</v>
      </c>
      <c r="D224" s="0" t="s">
        <v>604</v>
      </c>
      <c r="E224" s="0" t="s">
        <v>396</v>
      </c>
      <c r="F224" s="0" t="s">
        <v>409</v>
      </c>
      <c r="G224" s="0" t="s">
        <v>35</v>
      </c>
      <c r="H224" s="0" t="s">
        <v>770</v>
      </c>
      <c r="I224" s="0" t="n">
        <v>1</v>
      </c>
      <c r="J224" s="0" t="n">
        <v>779.28</v>
      </c>
      <c r="K224" s="0" t="n">
        <v>581.55</v>
      </c>
    </row>
    <row r="225" customFormat="false" ht="15" hidden="false" customHeight="false" outlineLevel="0" collapsed="false">
      <c r="A225" s="0" t="n">
        <v>109</v>
      </c>
      <c r="B225" s="0" t="s">
        <v>771</v>
      </c>
      <c r="C225" s="0" t="s">
        <v>199</v>
      </c>
      <c r="D225" s="0" t="s">
        <v>721</v>
      </c>
      <c r="E225" s="0" t="s">
        <v>264</v>
      </c>
      <c r="F225" s="0" t="s">
        <v>346</v>
      </c>
      <c r="G225" s="0" t="s">
        <v>35</v>
      </c>
      <c r="H225" s="0" t="s">
        <v>772</v>
      </c>
      <c r="I225" s="0" t="n">
        <v>1</v>
      </c>
      <c r="J225" s="0" t="n">
        <v>1012.87</v>
      </c>
      <c r="K225" s="0" t="n">
        <v>692.89</v>
      </c>
    </row>
    <row r="226" customFormat="false" ht="15" hidden="false" customHeight="false" outlineLevel="0" collapsed="false">
      <c r="A226" s="0" t="n">
        <v>178</v>
      </c>
      <c r="B226" s="0" t="s">
        <v>773</v>
      </c>
      <c r="C226" s="0" t="s">
        <v>38</v>
      </c>
      <c r="D226" s="0" t="s">
        <v>32</v>
      </c>
      <c r="E226" s="0" t="s">
        <v>774</v>
      </c>
      <c r="F226" s="0" t="s">
        <v>143</v>
      </c>
      <c r="G226" s="0" t="s">
        <v>35</v>
      </c>
      <c r="H226" s="0" t="s">
        <v>266</v>
      </c>
      <c r="I226" s="0" t="n">
        <v>2</v>
      </c>
      <c r="J226" s="0" t="n">
        <v>179.86</v>
      </c>
      <c r="K226" s="0" t="n">
        <v>117.56</v>
      </c>
      <c r="L226" s="0" t="s">
        <v>301</v>
      </c>
    </row>
    <row r="227" customFormat="false" ht="15" hidden="false" customHeight="false" outlineLevel="0" collapsed="false">
      <c r="A227" s="0" t="n">
        <v>58</v>
      </c>
      <c r="B227" s="0" t="s">
        <v>775</v>
      </c>
      <c r="C227" s="0" t="s">
        <v>50</v>
      </c>
      <c r="D227" s="0" t="s">
        <v>285</v>
      </c>
      <c r="E227" s="0" t="s">
        <v>232</v>
      </c>
      <c r="F227" s="0" t="s">
        <v>265</v>
      </c>
      <c r="G227" s="0" t="s">
        <v>54</v>
      </c>
      <c r="H227" s="0" t="s">
        <v>529</v>
      </c>
      <c r="I227" s="0" t="n">
        <v>1</v>
      </c>
      <c r="J227" s="0" t="n">
        <v>618.11</v>
      </c>
      <c r="K227" s="0" t="n">
        <v>449.45</v>
      </c>
    </row>
    <row r="228" customFormat="false" ht="15" hidden="false" customHeight="false" outlineLevel="0" collapsed="false">
      <c r="A228" s="0" t="n">
        <v>327</v>
      </c>
      <c r="B228" s="0" t="s">
        <v>776</v>
      </c>
      <c r="C228" s="0" t="s">
        <v>166</v>
      </c>
      <c r="D228" s="0" t="s">
        <v>331</v>
      </c>
      <c r="E228" s="0" t="s">
        <v>777</v>
      </c>
      <c r="F228" s="0" t="s">
        <v>163</v>
      </c>
      <c r="G228" s="0" t="s">
        <v>35</v>
      </c>
      <c r="H228" s="0" t="s">
        <v>778</v>
      </c>
      <c r="I228" s="0" t="n">
        <v>1</v>
      </c>
      <c r="J228" s="0" t="n">
        <v>328.28</v>
      </c>
    </row>
    <row r="229" customFormat="false" ht="15" hidden="false" customHeight="false" outlineLevel="0" collapsed="false">
      <c r="A229" s="0" t="n">
        <v>204</v>
      </c>
      <c r="B229" s="0" t="s">
        <v>779</v>
      </c>
      <c r="C229" s="0" t="s">
        <v>240</v>
      </c>
      <c r="D229" s="0" t="s">
        <v>449</v>
      </c>
      <c r="E229" s="0" t="s">
        <v>232</v>
      </c>
      <c r="F229" s="0" t="s">
        <v>92</v>
      </c>
      <c r="G229" s="0" t="s">
        <v>35</v>
      </c>
      <c r="H229" s="0" t="s">
        <v>780</v>
      </c>
      <c r="I229" s="0" t="n">
        <v>1</v>
      </c>
      <c r="J229" s="0" t="n">
        <v>634.64</v>
      </c>
      <c r="K229" s="0" t="n">
        <v>379.51</v>
      </c>
    </row>
    <row r="230" customFormat="false" ht="15" hidden="false" customHeight="false" outlineLevel="0" collapsed="false">
      <c r="A230" s="0" t="n">
        <v>305</v>
      </c>
      <c r="B230" s="0" t="s">
        <v>781</v>
      </c>
      <c r="C230" s="0" t="s">
        <v>782</v>
      </c>
      <c r="D230" s="0" t="s">
        <v>269</v>
      </c>
      <c r="E230" s="0" t="s">
        <v>142</v>
      </c>
      <c r="F230" s="0" t="s">
        <v>277</v>
      </c>
      <c r="G230" s="0" t="s">
        <v>35</v>
      </c>
      <c r="H230" s="0" t="s">
        <v>716</v>
      </c>
      <c r="I230" s="0" t="n">
        <v>2</v>
      </c>
      <c r="J230" s="0" t="n">
        <v>280.47</v>
      </c>
      <c r="K230" s="0" t="n">
        <v>178.38</v>
      </c>
    </row>
    <row r="231" customFormat="false" ht="15" hidden="false" customHeight="false" outlineLevel="0" collapsed="false">
      <c r="A231" s="0" t="n">
        <v>344</v>
      </c>
      <c r="B231" s="0" t="s">
        <v>709</v>
      </c>
      <c r="C231" s="0" t="s">
        <v>344</v>
      </c>
      <c r="D231" s="0" t="s">
        <v>601</v>
      </c>
      <c r="E231" s="0" t="s">
        <v>206</v>
      </c>
      <c r="F231" s="0" t="s">
        <v>351</v>
      </c>
      <c r="G231" s="0" t="s">
        <v>35</v>
      </c>
      <c r="H231" s="0" t="s">
        <v>783</v>
      </c>
      <c r="I231" s="0" t="n">
        <v>1</v>
      </c>
      <c r="J231" s="0" t="n">
        <v>2699.71</v>
      </c>
      <c r="K231" s="0" t="n">
        <v>2096.24</v>
      </c>
    </row>
    <row r="232" customFormat="false" ht="15" hidden="false" customHeight="false" outlineLevel="0" collapsed="false">
      <c r="A232" s="0" t="n">
        <v>271</v>
      </c>
      <c r="B232" s="0" t="s">
        <v>784</v>
      </c>
      <c r="C232" s="0" t="s">
        <v>785</v>
      </c>
      <c r="D232" s="0" t="s">
        <v>786</v>
      </c>
      <c r="E232" s="0" t="s">
        <v>281</v>
      </c>
      <c r="F232" s="0" t="s">
        <v>72</v>
      </c>
      <c r="G232" s="0" t="s">
        <v>54</v>
      </c>
      <c r="H232" s="0" t="s">
        <v>787</v>
      </c>
      <c r="I232" s="0" t="n">
        <v>1</v>
      </c>
      <c r="J232" s="0" t="n">
        <v>5108.33</v>
      </c>
      <c r="K232" s="0" t="n">
        <v>3178.69</v>
      </c>
    </row>
    <row r="233" customFormat="false" ht="15" hidden="false" customHeight="false" outlineLevel="0" collapsed="false">
      <c r="A233" s="0" t="n">
        <v>403</v>
      </c>
      <c r="B233" s="0" t="s">
        <v>788</v>
      </c>
      <c r="C233" s="0" t="s">
        <v>186</v>
      </c>
      <c r="D233" s="0" t="s">
        <v>383</v>
      </c>
      <c r="E233" s="0" t="s">
        <v>341</v>
      </c>
      <c r="F233" s="0" t="s">
        <v>299</v>
      </c>
      <c r="G233" s="0" t="s">
        <v>54</v>
      </c>
      <c r="H233" s="0" t="s">
        <v>789</v>
      </c>
      <c r="I233" s="0" t="n">
        <v>2</v>
      </c>
      <c r="J233" s="0" t="n">
        <v>2868.89</v>
      </c>
      <c r="K233" s="0" t="n">
        <v>2009.37</v>
      </c>
    </row>
    <row r="234" customFormat="false" ht="15" hidden="false" customHeight="false" outlineLevel="0" collapsed="false">
      <c r="A234" s="0" t="n">
        <v>171</v>
      </c>
      <c r="B234" s="0" t="s">
        <v>790</v>
      </c>
      <c r="C234" s="0" t="s">
        <v>296</v>
      </c>
      <c r="D234" s="0" t="s">
        <v>157</v>
      </c>
      <c r="E234" s="0" t="s">
        <v>630</v>
      </c>
      <c r="F234" s="0" t="s">
        <v>299</v>
      </c>
      <c r="G234" s="0" t="s">
        <v>54</v>
      </c>
      <c r="H234" s="0" t="s">
        <v>791</v>
      </c>
      <c r="I234" s="0" t="n">
        <v>1</v>
      </c>
      <c r="J234" s="0" t="n">
        <v>4382.43</v>
      </c>
      <c r="K234" s="0" t="n">
        <v>3284.54</v>
      </c>
    </row>
    <row r="235" customFormat="false" ht="15" hidden="false" customHeight="false" outlineLevel="0" collapsed="false">
      <c r="A235" s="0" t="n">
        <v>30</v>
      </c>
      <c r="B235" s="0" t="s">
        <v>792</v>
      </c>
      <c r="C235" s="0" t="s">
        <v>89</v>
      </c>
      <c r="D235" s="0" t="s">
        <v>455</v>
      </c>
      <c r="E235" s="0" t="s">
        <v>582</v>
      </c>
      <c r="F235" s="0" t="s">
        <v>519</v>
      </c>
      <c r="G235" s="0" t="s">
        <v>35</v>
      </c>
      <c r="H235" s="0" t="s">
        <v>793</v>
      </c>
      <c r="I235" s="0" t="n">
        <v>1</v>
      </c>
      <c r="J235" s="0" t="n">
        <v>846.44</v>
      </c>
      <c r="K235" s="0" t="n">
        <v>589.8</v>
      </c>
    </row>
    <row r="236" customFormat="false" ht="15" hidden="false" customHeight="false" outlineLevel="0" collapsed="false">
      <c r="A236" s="0" t="n">
        <v>163</v>
      </c>
      <c r="B236" s="0" t="s">
        <v>794</v>
      </c>
      <c r="C236" s="0" t="s">
        <v>204</v>
      </c>
      <c r="D236" s="0" t="s">
        <v>370</v>
      </c>
      <c r="E236" s="0" t="s">
        <v>747</v>
      </c>
      <c r="F236" s="0" t="s">
        <v>41</v>
      </c>
      <c r="G236" s="0" t="s">
        <v>35</v>
      </c>
      <c r="H236" s="0" t="s">
        <v>795</v>
      </c>
      <c r="I236" s="0" t="n">
        <v>2</v>
      </c>
      <c r="J236" s="0" t="n">
        <v>247.3</v>
      </c>
      <c r="K236" s="0" t="n">
        <v>154.68</v>
      </c>
    </row>
    <row r="237" customFormat="false" ht="15" hidden="false" customHeight="false" outlineLevel="0" collapsed="false">
      <c r="A237" s="0" t="n">
        <v>150</v>
      </c>
      <c r="B237" s="0" t="s">
        <v>796</v>
      </c>
      <c r="C237" s="0" t="s">
        <v>797</v>
      </c>
      <c r="D237" s="0" t="s">
        <v>505</v>
      </c>
      <c r="E237" s="0" t="s">
        <v>257</v>
      </c>
      <c r="F237" s="0" t="s">
        <v>34</v>
      </c>
      <c r="G237" s="0" t="s">
        <v>35</v>
      </c>
      <c r="H237" s="0" t="s">
        <v>304</v>
      </c>
      <c r="I237" s="0" t="n">
        <v>-1</v>
      </c>
      <c r="J237" s="0" t="n">
        <v>2680.81</v>
      </c>
      <c r="K237" s="0" t="n">
        <v>2014.01</v>
      </c>
    </row>
    <row r="238" customFormat="false" ht="15" hidden="false" customHeight="false" outlineLevel="0" collapsed="false">
      <c r="A238" s="0" t="n">
        <v>328</v>
      </c>
      <c r="B238" s="0" t="s">
        <v>776</v>
      </c>
      <c r="C238" s="0" t="s">
        <v>798</v>
      </c>
      <c r="D238" s="0" t="s">
        <v>799</v>
      </c>
      <c r="E238" s="0" t="s">
        <v>52</v>
      </c>
      <c r="F238" s="0" t="s">
        <v>92</v>
      </c>
      <c r="G238" s="0" t="s">
        <v>35</v>
      </c>
      <c r="H238" s="0" t="s">
        <v>800</v>
      </c>
      <c r="I238" s="0" t="n">
        <v>1</v>
      </c>
      <c r="J238" s="0" t="n">
        <v>722.03</v>
      </c>
      <c r="K238" s="0" t="n">
        <v>414.49</v>
      </c>
    </row>
    <row r="239" customFormat="false" ht="15" hidden="false" customHeight="false" outlineLevel="0" collapsed="false">
      <c r="A239" s="0" t="n">
        <v>407</v>
      </c>
      <c r="B239" s="0" t="s">
        <v>801</v>
      </c>
      <c r="C239" s="0" t="s">
        <v>89</v>
      </c>
      <c r="D239" s="0" t="s">
        <v>122</v>
      </c>
      <c r="E239" s="0" t="s">
        <v>337</v>
      </c>
      <c r="F239" s="0" t="s">
        <v>356</v>
      </c>
      <c r="G239" s="0" t="s">
        <v>35</v>
      </c>
      <c r="H239" s="0" t="s">
        <v>787</v>
      </c>
      <c r="I239" s="0" t="n">
        <v>1</v>
      </c>
      <c r="J239" s="0" t="n">
        <v>1632.81</v>
      </c>
      <c r="K239" s="0" t="n">
        <v>1133.45</v>
      </c>
    </row>
    <row r="240" customFormat="false" ht="15" hidden="false" customHeight="false" outlineLevel="0" collapsed="false">
      <c r="A240" s="0" t="n">
        <v>200</v>
      </c>
      <c r="B240" s="0" t="s">
        <v>802</v>
      </c>
      <c r="C240" s="0" t="s">
        <v>421</v>
      </c>
      <c r="D240" s="0" t="s">
        <v>246</v>
      </c>
      <c r="E240" s="0" t="s">
        <v>405</v>
      </c>
      <c r="F240" s="0" t="s">
        <v>376</v>
      </c>
      <c r="G240" s="0" t="s">
        <v>54</v>
      </c>
      <c r="H240" s="0" t="s">
        <v>803</v>
      </c>
      <c r="I240" s="0" t="n">
        <v>2</v>
      </c>
      <c r="J240" s="0" t="n">
        <v>3723.85</v>
      </c>
      <c r="K240" s="0" t="n">
        <v>2820.36</v>
      </c>
    </row>
    <row r="241" customFormat="false" ht="15" hidden="false" customHeight="false" outlineLevel="0" collapsed="false">
      <c r="A241" s="0" t="n">
        <v>324</v>
      </c>
      <c r="B241" s="0" t="s">
        <v>804</v>
      </c>
      <c r="C241" s="0" t="s">
        <v>445</v>
      </c>
      <c r="D241" s="0" t="s">
        <v>805</v>
      </c>
      <c r="E241" s="0" t="s">
        <v>806</v>
      </c>
      <c r="F241" s="0" t="s">
        <v>662</v>
      </c>
      <c r="G241" s="0" t="s">
        <v>54</v>
      </c>
      <c r="H241" s="0" t="s">
        <v>807</v>
      </c>
      <c r="I241" s="0" t="n">
        <v>2</v>
      </c>
      <c r="J241" s="0" t="n">
        <v>1602.5</v>
      </c>
      <c r="K241" s="0" t="n">
        <v>1159.38</v>
      </c>
    </row>
    <row r="242" customFormat="false" ht="15" hidden="false" customHeight="false" outlineLevel="0" collapsed="false">
      <c r="A242" s="0" t="n">
        <v>95</v>
      </c>
      <c r="B242" s="0" t="s">
        <v>808</v>
      </c>
      <c r="C242" s="0" t="s">
        <v>734</v>
      </c>
      <c r="D242" s="0" t="s">
        <v>205</v>
      </c>
      <c r="E242" s="0" t="s">
        <v>350</v>
      </c>
      <c r="F242" s="0" t="s">
        <v>342</v>
      </c>
      <c r="G242" s="0" t="s">
        <v>35</v>
      </c>
      <c r="H242" s="0" t="s">
        <v>809</v>
      </c>
      <c r="I242" s="0" t="n">
        <v>2</v>
      </c>
      <c r="J242" s="0" t="n">
        <v>2495.2</v>
      </c>
      <c r="K242" s="0" t="n">
        <v>1704.63</v>
      </c>
    </row>
    <row r="243" customFormat="false" ht="15" hidden="false" customHeight="false" outlineLevel="0" collapsed="false">
      <c r="A243" s="0" t="n">
        <v>263</v>
      </c>
      <c r="B243" s="0" t="s">
        <v>810</v>
      </c>
      <c r="C243" s="0" t="s">
        <v>811</v>
      </c>
      <c r="D243" s="0" t="s">
        <v>812</v>
      </c>
      <c r="E243" s="0" t="s">
        <v>749</v>
      </c>
      <c r="F243" s="0" t="s">
        <v>265</v>
      </c>
      <c r="G243" s="0" t="s">
        <v>35</v>
      </c>
      <c r="H243" s="0" t="s">
        <v>520</v>
      </c>
      <c r="I243" s="0" t="n">
        <v>1</v>
      </c>
      <c r="J243" s="0" t="n">
        <v>6747.94</v>
      </c>
      <c r="K243" s="0" t="n">
        <v>5172.66</v>
      </c>
    </row>
    <row r="244" customFormat="false" ht="15" hidden="false" customHeight="false" outlineLevel="0" collapsed="false">
      <c r="A244" s="0" t="n">
        <v>388</v>
      </c>
      <c r="B244" s="0" t="s">
        <v>813</v>
      </c>
      <c r="C244" s="0" t="s">
        <v>391</v>
      </c>
      <c r="D244" s="0" t="s">
        <v>290</v>
      </c>
      <c r="E244" s="0" t="s">
        <v>486</v>
      </c>
      <c r="F244" s="0" t="s">
        <v>179</v>
      </c>
      <c r="G244" s="0" t="s">
        <v>35</v>
      </c>
      <c r="H244" s="0" t="s">
        <v>814</v>
      </c>
      <c r="I244" s="0" t="n">
        <v>1</v>
      </c>
      <c r="J244" s="0" t="n">
        <v>865.64</v>
      </c>
      <c r="K244" s="0" t="n">
        <v>631.69</v>
      </c>
    </row>
    <row r="245" customFormat="false" ht="15" hidden="false" customHeight="false" outlineLevel="0" collapsed="false">
      <c r="A245" s="0" t="n">
        <v>222</v>
      </c>
      <c r="B245" s="0" t="s">
        <v>815</v>
      </c>
      <c r="C245" s="0" t="s">
        <v>250</v>
      </c>
      <c r="D245" s="0" t="s">
        <v>816</v>
      </c>
      <c r="E245" s="0" t="s">
        <v>107</v>
      </c>
      <c r="F245" s="0" t="s">
        <v>133</v>
      </c>
      <c r="G245" s="0" t="s">
        <v>35</v>
      </c>
      <c r="H245" s="0" t="s">
        <v>817</v>
      </c>
      <c r="I245" s="0" t="n">
        <v>1</v>
      </c>
      <c r="J245" s="0" t="n">
        <v>295.92</v>
      </c>
      <c r="K245" s="0" t="n">
        <v>187.71</v>
      </c>
    </row>
    <row r="246" customFormat="false" ht="15" hidden="false" customHeight="false" outlineLevel="0" collapsed="false">
      <c r="A246" s="0" t="n">
        <v>86</v>
      </c>
      <c r="B246" s="0" t="s">
        <v>818</v>
      </c>
      <c r="C246" s="0" t="s">
        <v>543</v>
      </c>
      <c r="D246" s="0" t="s">
        <v>819</v>
      </c>
      <c r="E246" s="0" t="s">
        <v>579</v>
      </c>
      <c r="F246" s="0" t="s">
        <v>609</v>
      </c>
      <c r="G246" s="0" t="s">
        <v>35</v>
      </c>
      <c r="H246" s="0" t="s">
        <v>820</v>
      </c>
      <c r="I246" s="0" t="n">
        <v>2</v>
      </c>
      <c r="J246" s="0" t="n">
        <v>3116.23</v>
      </c>
      <c r="K246" s="0" t="n">
        <v>1848.39</v>
      </c>
    </row>
    <row r="247" customFormat="false" ht="15" hidden="false" customHeight="false" outlineLevel="0" collapsed="false">
      <c r="A247" s="0" t="n">
        <v>133</v>
      </c>
      <c r="B247" s="0" t="s">
        <v>821</v>
      </c>
      <c r="C247" s="0" t="s">
        <v>296</v>
      </c>
      <c r="D247" s="0" t="s">
        <v>822</v>
      </c>
      <c r="E247" s="0" t="s">
        <v>65</v>
      </c>
      <c r="F247" s="0" t="s">
        <v>333</v>
      </c>
      <c r="G247" s="0" t="s">
        <v>35</v>
      </c>
      <c r="H247" s="0" t="s">
        <v>823</v>
      </c>
      <c r="I247" s="0" t="n">
        <v>1</v>
      </c>
      <c r="J247" s="0" t="n">
        <v>482.3</v>
      </c>
    </row>
    <row r="248" customFormat="false" ht="15" hidden="false" customHeight="false" outlineLevel="0" collapsed="false">
      <c r="A248" s="0" t="n">
        <v>188</v>
      </c>
      <c r="B248" s="0" t="s">
        <v>530</v>
      </c>
      <c r="C248" s="0" t="s">
        <v>369</v>
      </c>
      <c r="D248" s="0" t="s">
        <v>324</v>
      </c>
      <c r="E248" s="0" t="s">
        <v>183</v>
      </c>
      <c r="F248" s="0" t="s">
        <v>243</v>
      </c>
      <c r="G248" s="0" t="s">
        <v>35</v>
      </c>
      <c r="H248" s="0" t="s">
        <v>824</v>
      </c>
      <c r="I248" s="0" t="n">
        <v>1</v>
      </c>
      <c r="J248" s="0" t="n">
        <v>725.69</v>
      </c>
      <c r="K248" s="0" t="n">
        <v>471.14</v>
      </c>
    </row>
    <row r="249" customFormat="false" ht="15" hidden="false" customHeight="false" outlineLevel="0" collapsed="false">
      <c r="A249" s="0" t="n">
        <v>320</v>
      </c>
      <c r="B249" s="0" t="s">
        <v>825</v>
      </c>
      <c r="C249" s="0" t="s">
        <v>327</v>
      </c>
      <c r="D249" s="0" t="s">
        <v>324</v>
      </c>
      <c r="E249" s="0" t="s">
        <v>396</v>
      </c>
      <c r="F249" s="0" t="s">
        <v>362</v>
      </c>
      <c r="G249" s="0" t="s">
        <v>35</v>
      </c>
      <c r="H249" s="0" t="s">
        <v>826</v>
      </c>
      <c r="I249" s="0" t="n">
        <v>1</v>
      </c>
      <c r="J249" s="0" t="n">
        <v>106.95</v>
      </c>
      <c r="K249" s="0" t="n">
        <v>59.78</v>
      </c>
    </row>
    <row r="250" customFormat="false" ht="15" hidden="false" customHeight="false" outlineLevel="0" collapsed="false">
      <c r="A250" s="0" t="n">
        <v>249</v>
      </c>
      <c r="B250" s="0" t="s">
        <v>600</v>
      </c>
      <c r="C250" s="0" t="s">
        <v>782</v>
      </c>
      <c r="D250" s="0" t="s">
        <v>799</v>
      </c>
      <c r="E250" s="0" t="s">
        <v>276</v>
      </c>
      <c r="F250" s="0" t="s">
        <v>207</v>
      </c>
      <c r="G250" s="0" t="s">
        <v>35</v>
      </c>
      <c r="H250" s="0" t="s">
        <v>817</v>
      </c>
      <c r="I250" s="0" t="n">
        <v>1</v>
      </c>
      <c r="J250" s="0" t="n">
        <v>158.88</v>
      </c>
      <c r="K250" s="0" t="n">
        <v>90.18</v>
      </c>
    </row>
    <row r="251" customFormat="false" ht="15" hidden="false" customHeight="false" outlineLevel="0" collapsed="false">
      <c r="A251" s="0" t="n">
        <v>90</v>
      </c>
      <c r="B251" s="0" t="s">
        <v>827</v>
      </c>
      <c r="C251" s="0" t="s">
        <v>57</v>
      </c>
      <c r="D251" s="0" t="s">
        <v>290</v>
      </c>
      <c r="E251" s="0" t="s">
        <v>828</v>
      </c>
      <c r="F251" s="0" t="s">
        <v>282</v>
      </c>
      <c r="G251" s="0" t="s">
        <v>35</v>
      </c>
      <c r="H251" s="0" t="s">
        <v>120</v>
      </c>
      <c r="I251" s="0" t="n">
        <v>1</v>
      </c>
      <c r="J251" s="0" t="n">
        <v>888.14</v>
      </c>
      <c r="K251" s="0" t="n">
        <v>688.24</v>
      </c>
    </row>
    <row r="252" customFormat="false" ht="15" hidden="false" customHeight="false" outlineLevel="0" collapsed="false">
      <c r="A252" s="0" t="n">
        <v>12</v>
      </c>
      <c r="B252" s="0" t="s">
        <v>829</v>
      </c>
      <c r="C252" s="0" t="s">
        <v>272</v>
      </c>
      <c r="D252" s="0" t="s">
        <v>830</v>
      </c>
      <c r="E252" s="0" t="s">
        <v>479</v>
      </c>
      <c r="F252" s="0" t="s">
        <v>441</v>
      </c>
      <c r="G252" s="0" t="s">
        <v>35</v>
      </c>
      <c r="H252" s="0" t="s">
        <v>831</v>
      </c>
      <c r="I252" s="0" t="n">
        <v>2</v>
      </c>
      <c r="J252" s="0" t="n">
        <v>1701.03</v>
      </c>
      <c r="K252" s="0" t="n">
        <v>947.65</v>
      </c>
    </row>
    <row r="253" customFormat="false" ht="15" hidden="false" customHeight="false" outlineLevel="0" collapsed="false">
      <c r="A253" s="0" t="n">
        <v>35</v>
      </c>
      <c r="B253" s="0" t="s">
        <v>832</v>
      </c>
      <c r="C253" s="0" t="s">
        <v>57</v>
      </c>
      <c r="D253" s="0" t="s">
        <v>833</v>
      </c>
      <c r="E253" s="0" t="s">
        <v>834</v>
      </c>
      <c r="F253" s="0" t="s">
        <v>356</v>
      </c>
      <c r="G253" s="0" t="s">
        <v>35</v>
      </c>
      <c r="H253" s="0" t="s">
        <v>442</v>
      </c>
      <c r="I253" s="0" t="n">
        <v>1</v>
      </c>
      <c r="J253" s="0" t="n">
        <v>155.28</v>
      </c>
      <c r="K253" s="0" t="n">
        <v>101.51</v>
      </c>
    </row>
    <row r="254" customFormat="false" ht="15" hidden="false" customHeight="false" outlineLevel="0" collapsed="false">
      <c r="A254" s="0" t="n">
        <v>218</v>
      </c>
      <c r="B254" s="0" t="s">
        <v>835</v>
      </c>
      <c r="C254" s="0" t="s">
        <v>166</v>
      </c>
      <c r="D254" s="0" t="s">
        <v>205</v>
      </c>
      <c r="E254" s="0" t="s">
        <v>247</v>
      </c>
      <c r="F254" s="0" t="s">
        <v>102</v>
      </c>
      <c r="G254" s="0" t="s">
        <v>35</v>
      </c>
      <c r="H254" s="0" t="s">
        <v>795</v>
      </c>
      <c r="I254" s="0" t="n">
        <v>1</v>
      </c>
      <c r="J254" s="0" t="n">
        <v>3006.03</v>
      </c>
      <c r="K254" s="0" t="n">
        <v>2002.81</v>
      </c>
    </row>
    <row r="255" customFormat="false" ht="15" hidden="false" customHeight="false" outlineLevel="0" collapsed="false">
      <c r="A255" s="0" t="n">
        <v>73</v>
      </c>
      <c r="B255" s="0" t="s">
        <v>836</v>
      </c>
      <c r="C255" s="0" t="s">
        <v>644</v>
      </c>
      <c r="D255" s="0" t="s">
        <v>515</v>
      </c>
      <c r="E255" s="0" t="s">
        <v>101</v>
      </c>
      <c r="F255" s="0" t="s">
        <v>243</v>
      </c>
      <c r="G255" s="0" t="s">
        <v>54</v>
      </c>
      <c r="H255" s="0" t="s">
        <v>837</v>
      </c>
      <c r="I255" s="0" t="n">
        <v>1</v>
      </c>
      <c r="J255" s="0" t="n">
        <v>240.88</v>
      </c>
      <c r="K255" s="0" t="n">
        <v>141.03</v>
      </c>
    </row>
    <row r="256" customFormat="false" ht="15" hidden="false" customHeight="false" outlineLevel="0" collapsed="false">
      <c r="A256" s="0" t="n">
        <v>394</v>
      </c>
      <c r="B256" s="0" t="s">
        <v>838</v>
      </c>
      <c r="C256" s="0" t="s">
        <v>349</v>
      </c>
      <c r="D256" s="0" t="s">
        <v>839</v>
      </c>
      <c r="E256" s="0" t="s">
        <v>639</v>
      </c>
      <c r="F256" s="0" t="s">
        <v>322</v>
      </c>
      <c r="G256" s="0" t="s">
        <v>35</v>
      </c>
      <c r="H256" s="0" t="s">
        <v>840</v>
      </c>
      <c r="I256" s="0" t="n">
        <v>3</v>
      </c>
      <c r="J256" s="0" t="n">
        <v>111.9</v>
      </c>
      <c r="K256" s="0" t="n">
        <v>80.04</v>
      </c>
    </row>
    <row r="257" customFormat="false" ht="15" hidden="false" customHeight="false" outlineLevel="0" collapsed="false">
      <c r="A257" s="0" t="n">
        <v>221</v>
      </c>
      <c r="B257" s="0" t="s">
        <v>841</v>
      </c>
      <c r="C257" s="0" t="s">
        <v>763</v>
      </c>
      <c r="D257" s="0" t="s">
        <v>404</v>
      </c>
      <c r="E257" s="0" t="s">
        <v>196</v>
      </c>
      <c r="F257" s="0" t="s">
        <v>169</v>
      </c>
      <c r="G257" s="0" t="s">
        <v>35</v>
      </c>
      <c r="H257" s="0" t="s">
        <v>842</v>
      </c>
      <c r="I257" s="0" t="n">
        <v>1</v>
      </c>
      <c r="J257" s="0" t="n">
        <v>3789.54</v>
      </c>
      <c r="K257" s="0" t="n">
        <v>2427.18</v>
      </c>
    </row>
    <row r="258" customFormat="false" ht="15" hidden="false" customHeight="false" outlineLevel="0" collapsed="false">
      <c r="A258" s="0" t="n">
        <v>262</v>
      </c>
      <c r="B258" s="0" t="s">
        <v>689</v>
      </c>
      <c r="C258" s="0" t="s">
        <v>280</v>
      </c>
      <c r="D258" s="0" t="s">
        <v>432</v>
      </c>
      <c r="E258" s="0" t="s">
        <v>211</v>
      </c>
      <c r="F258" s="0" t="s">
        <v>212</v>
      </c>
      <c r="G258" s="0" t="s">
        <v>35</v>
      </c>
      <c r="H258" s="0" t="s">
        <v>622</v>
      </c>
      <c r="I258" s="0" t="n">
        <v>1</v>
      </c>
      <c r="J258" s="0" t="n">
        <v>3940.43</v>
      </c>
      <c r="K258" s="0" t="n">
        <v>2519.02</v>
      </c>
    </row>
    <row r="259" customFormat="false" ht="15" hidden="false" customHeight="false" outlineLevel="0" collapsed="false">
      <c r="A259" s="0" t="n">
        <v>333</v>
      </c>
      <c r="B259" s="0" t="s">
        <v>843</v>
      </c>
      <c r="C259" s="0" t="s">
        <v>152</v>
      </c>
      <c r="D259" s="0" t="s">
        <v>404</v>
      </c>
      <c r="E259" s="0" t="s">
        <v>844</v>
      </c>
      <c r="F259" s="0" t="s">
        <v>243</v>
      </c>
      <c r="G259" s="0" t="s">
        <v>35</v>
      </c>
      <c r="H259" s="0" t="s">
        <v>845</v>
      </c>
      <c r="I259" s="0" t="n">
        <v>2</v>
      </c>
      <c r="J259" s="0" t="n">
        <v>2837.75</v>
      </c>
      <c r="K259" s="0" t="n">
        <v>1582.04</v>
      </c>
    </row>
    <row r="260" customFormat="false" ht="15" hidden="false" customHeight="false" outlineLevel="0" collapsed="false">
      <c r="A260" s="0" t="n">
        <v>408</v>
      </c>
      <c r="B260" s="0" t="s">
        <v>801</v>
      </c>
      <c r="C260" s="0" t="s">
        <v>226</v>
      </c>
      <c r="D260" s="0" t="s">
        <v>726</v>
      </c>
      <c r="E260" s="0" t="s">
        <v>846</v>
      </c>
      <c r="F260" s="0" t="s">
        <v>277</v>
      </c>
      <c r="G260" s="0" t="s">
        <v>35</v>
      </c>
      <c r="H260" s="0" t="s">
        <v>410</v>
      </c>
      <c r="I260" s="0" t="n">
        <v>1</v>
      </c>
      <c r="J260" s="0" t="n">
        <v>30.26</v>
      </c>
    </row>
    <row r="261" customFormat="false" ht="15" hidden="false" customHeight="false" outlineLevel="0" collapsed="false">
      <c r="A261" s="0" t="n">
        <v>13</v>
      </c>
      <c r="B261" s="0" t="s">
        <v>847</v>
      </c>
      <c r="C261" s="0" t="s">
        <v>220</v>
      </c>
      <c r="D261" s="0" t="s">
        <v>354</v>
      </c>
      <c r="E261" s="0" t="s">
        <v>846</v>
      </c>
      <c r="F261" s="0" t="s">
        <v>265</v>
      </c>
      <c r="G261" s="0" t="s">
        <v>54</v>
      </c>
      <c r="H261" s="0" t="s">
        <v>848</v>
      </c>
      <c r="I261" s="0" t="n">
        <v>2</v>
      </c>
      <c r="J261" s="0" t="n">
        <v>70.62</v>
      </c>
      <c r="K261" s="0" t="n">
        <v>47.7</v>
      </c>
    </row>
    <row r="262" customFormat="false" ht="15" hidden="false" customHeight="false" outlineLevel="0" collapsed="false">
      <c r="A262" s="0" t="n">
        <v>199</v>
      </c>
      <c r="B262" s="0" t="s">
        <v>849</v>
      </c>
      <c r="C262" s="0" t="s">
        <v>57</v>
      </c>
      <c r="D262" s="0" t="s">
        <v>505</v>
      </c>
      <c r="E262" s="0" t="s">
        <v>850</v>
      </c>
      <c r="F262" s="0" t="s">
        <v>409</v>
      </c>
      <c r="G262" s="0" t="s">
        <v>35</v>
      </c>
      <c r="H262" s="0" t="s">
        <v>851</v>
      </c>
      <c r="I262" s="0" t="n">
        <v>1</v>
      </c>
      <c r="J262" s="0" t="n">
        <v>4199.91</v>
      </c>
      <c r="K262" s="0" t="n">
        <v>3027.01</v>
      </c>
    </row>
    <row r="263" customFormat="false" ht="15" hidden="false" customHeight="false" outlineLevel="0" collapsed="false">
      <c r="A263" s="0" t="n">
        <v>214</v>
      </c>
      <c r="B263" s="0" t="s">
        <v>852</v>
      </c>
      <c r="C263" s="0" t="s">
        <v>79</v>
      </c>
      <c r="D263" s="0" t="s">
        <v>853</v>
      </c>
      <c r="E263" s="0" t="s">
        <v>440</v>
      </c>
      <c r="F263" s="0" t="s">
        <v>409</v>
      </c>
      <c r="G263" s="0" t="s">
        <v>54</v>
      </c>
      <c r="H263" s="0" t="s">
        <v>854</v>
      </c>
      <c r="I263" s="0" t="n">
        <v>1</v>
      </c>
      <c r="J263" s="0" t="n">
        <v>2792.75</v>
      </c>
      <c r="K263" s="0" t="n">
        <v>1996.32</v>
      </c>
    </row>
    <row r="264" customFormat="false" ht="15" hidden="false" customHeight="false" outlineLevel="0" collapsed="false">
      <c r="A264" s="0" t="n">
        <v>383</v>
      </c>
      <c r="B264" s="0" t="s">
        <v>855</v>
      </c>
      <c r="C264" s="0" t="s">
        <v>306</v>
      </c>
      <c r="D264" s="0" t="s">
        <v>761</v>
      </c>
      <c r="E264" s="0" t="s">
        <v>405</v>
      </c>
      <c r="F264" s="0" t="s">
        <v>362</v>
      </c>
      <c r="G264" s="0" t="s">
        <v>35</v>
      </c>
      <c r="H264" s="0" t="s">
        <v>357</v>
      </c>
      <c r="I264" s="0" t="n">
        <v>1</v>
      </c>
      <c r="J264" s="0" t="n">
        <v>4151.89</v>
      </c>
      <c r="K264" s="0" t="n">
        <v>2447.75</v>
      </c>
    </row>
    <row r="265" customFormat="false" ht="15" hidden="false" customHeight="false" outlineLevel="0" collapsed="false">
      <c r="A265" s="0" t="n">
        <v>235</v>
      </c>
      <c r="B265" s="0" t="s">
        <v>574</v>
      </c>
      <c r="C265" s="0" t="s">
        <v>306</v>
      </c>
      <c r="D265" s="0" t="s">
        <v>505</v>
      </c>
      <c r="E265" s="0" t="s">
        <v>630</v>
      </c>
      <c r="F265" s="0" t="s">
        <v>409</v>
      </c>
      <c r="G265" s="0" t="s">
        <v>35</v>
      </c>
      <c r="H265" s="0" t="s">
        <v>856</v>
      </c>
      <c r="I265" s="0" t="n">
        <v>1</v>
      </c>
      <c r="J265" s="0" t="n">
        <v>2204.74</v>
      </c>
      <c r="K265" s="0" t="n">
        <v>1261.78</v>
      </c>
    </row>
    <row r="266" customFormat="false" ht="15" hidden="false" customHeight="false" outlineLevel="0" collapsed="false">
      <c r="A266" s="0" t="n">
        <v>367</v>
      </c>
      <c r="B266" s="0" t="s">
        <v>857</v>
      </c>
      <c r="C266" s="0" t="s">
        <v>858</v>
      </c>
      <c r="D266" s="0" t="s">
        <v>246</v>
      </c>
      <c r="E266" s="0" t="s">
        <v>615</v>
      </c>
      <c r="F266" s="0" t="s">
        <v>192</v>
      </c>
      <c r="G266" s="0" t="s">
        <v>35</v>
      </c>
      <c r="H266" s="0" t="s">
        <v>859</v>
      </c>
      <c r="I266" s="0" t="n">
        <v>1</v>
      </c>
      <c r="J266" s="0" t="n">
        <v>3659.12</v>
      </c>
      <c r="K266" s="0" t="n">
        <v>2728.83</v>
      </c>
    </row>
    <row r="267" customFormat="false" ht="15" hidden="false" customHeight="false" outlineLevel="0" collapsed="false">
      <c r="A267" s="0" t="n">
        <v>300</v>
      </c>
      <c r="B267" s="0" t="s">
        <v>860</v>
      </c>
      <c r="C267" s="0" t="s">
        <v>344</v>
      </c>
      <c r="D267" s="0" t="s">
        <v>721</v>
      </c>
      <c r="E267" s="0" t="s">
        <v>440</v>
      </c>
      <c r="F267" s="0" t="s">
        <v>114</v>
      </c>
      <c r="G267" s="0" t="s">
        <v>35</v>
      </c>
      <c r="H267" s="0" t="s">
        <v>419</v>
      </c>
      <c r="I267" s="0" t="n">
        <v>1</v>
      </c>
      <c r="J267" s="0" t="n">
        <v>2487.29</v>
      </c>
    </row>
    <row r="268" customFormat="false" ht="15" hidden="false" customHeight="false" outlineLevel="0" collapsed="false">
      <c r="A268" s="0" t="n">
        <v>339</v>
      </c>
      <c r="B268" s="0" t="s">
        <v>861</v>
      </c>
      <c r="C268" s="0" t="s">
        <v>474</v>
      </c>
      <c r="D268" s="0" t="s">
        <v>651</v>
      </c>
      <c r="E268" s="0" t="s">
        <v>862</v>
      </c>
      <c r="F268" s="0" t="s">
        <v>506</v>
      </c>
      <c r="G268" s="0" t="s">
        <v>35</v>
      </c>
      <c r="H268" s="0" t="s">
        <v>863</v>
      </c>
      <c r="I268" s="0" t="n">
        <v>1</v>
      </c>
      <c r="J268" s="0" t="n">
        <v>4222.89</v>
      </c>
      <c r="K268" s="0" t="n">
        <v>3276.6</v>
      </c>
    </row>
    <row r="269" customFormat="false" ht="15" hidden="false" customHeight="false" outlineLevel="0" collapsed="false">
      <c r="A269" s="0" t="n">
        <v>97</v>
      </c>
      <c r="B269" s="0" t="s">
        <v>864</v>
      </c>
      <c r="C269" s="0" t="s">
        <v>718</v>
      </c>
      <c r="D269" s="0" t="s">
        <v>865</v>
      </c>
      <c r="E269" s="0" t="s">
        <v>747</v>
      </c>
      <c r="F269" s="0" t="s">
        <v>333</v>
      </c>
      <c r="G269" s="0" t="s">
        <v>35</v>
      </c>
      <c r="H269" s="0" t="s">
        <v>42</v>
      </c>
      <c r="I269" s="0" t="n">
        <v>1</v>
      </c>
      <c r="J269" s="0" t="n">
        <v>267.32</v>
      </c>
      <c r="K269" s="0" t="n">
        <v>156.43</v>
      </c>
    </row>
    <row r="270" customFormat="false" ht="15" hidden="false" customHeight="false" outlineLevel="0" collapsed="false">
      <c r="A270" s="0" t="n">
        <v>273</v>
      </c>
      <c r="B270" s="0" t="s">
        <v>866</v>
      </c>
      <c r="C270" s="0" t="s">
        <v>445</v>
      </c>
      <c r="D270" s="0" t="s">
        <v>285</v>
      </c>
      <c r="E270" s="0" t="s">
        <v>567</v>
      </c>
      <c r="F270" s="0" t="s">
        <v>114</v>
      </c>
      <c r="G270" s="0" t="s">
        <v>35</v>
      </c>
      <c r="H270" s="0" t="s">
        <v>288</v>
      </c>
      <c r="I270" s="0" t="n">
        <v>1</v>
      </c>
      <c r="J270" s="0" t="n">
        <v>798.88</v>
      </c>
      <c r="K270" s="0" t="n">
        <v>576.23</v>
      </c>
    </row>
    <row r="271" customFormat="false" ht="15" hidden="false" customHeight="false" outlineLevel="0" collapsed="false">
      <c r="A271" s="0" t="n">
        <v>64</v>
      </c>
      <c r="B271" s="0" t="s">
        <v>292</v>
      </c>
      <c r="C271" s="0" t="s">
        <v>31</v>
      </c>
      <c r="D271" s="0" t="s">
        <v>449</v>
      </c>
      <c r="E271" s="0" t="s">
        <v>52</v>
      </c>
      <c r="F271" s="0" t="s">
        <v>351</v>
      </c>
      <c r="G271" s="0" t="s">
        <v>35</v>
      </c>
      <c r="H271" s="0" t="s">
        <v>867</v>
      </c>
      <c r="I271" s="0" t="n">
        <v>1</v>
      </c>
      <c r="J271" s="0" t="n">
        <v>889.09</v>
      </c>
      <c r="K271" s="0" t="n">
        <v>688.28</v>
      </c>
    </row>
    <row r="272" customFormat="false" ht="15" hidden="false" customHeight="false" outlineLevel="0" collapsed="false">
      <c r="A272" s="0" t="n">
        <v>223</v>
      </c>
      <c r="B272" s="0" t="s">
        <v>868</v>
      </c>
      <c r="C272" s="0" t="s">
        <v>474</v>
      </c>
      <c r="D272" s="0" t="s">
        <v>324</v>
      </c>
      <c r="E272" s="0" t="s">
        <v>605</v>
      </c>
      <c r="F272" s="0" t="s">
        <v>212</v>
      </c>
      <c r="G272" s="0" t="s">
        <v>35</v>
      </c>
      <c r="H272" s="0" t="s">
        <v>869</v>
      </c>
      <c r="I272" s="0" t="n">
        <v>1</v>
      </c>
      <c r="J272" s="0" t="n">
        <v>231.13</v>
      </c>
      <c r="K272" s="0" t="n">
        <v>147.31</v>
      </c>
    </row>
    <row r="273" customFormat="false" ht="15" hidden="false" customHeight="false" outlineLevel="0" collapsed="false">
      <c r="A273" s="0" t="n">
        <v>96</v>
      </c>
      <c r="B273" s="0" t="s">
        <v>808</v>
      </c>
      <c r="C273" s="0" t="s">
        <v>63</v>
      </c>
      <c r="D273" s="0" t="s">
        <v>799</v>
      </c>
      <c r="E273" s="0" t="s">
        <v>276</v>
      </c>
      <c r="F273" s="0" t="s">
        <v>192</v>
      </c>
      <c r="G273" s="0" t="s">
        <v>54</v>
      </c>
      <c r="H273" s="0" t="s">
        <v>870</v>
      </c>
      <c r="I273" s="0" t="n">
        <v>2</v>
      </c>
      <c r="J273" s="0" t="n">
        <v>93.33</v>
      </c>
      <c r="K273" s="0" t="n">
        <v>68.84</v>
      </c>
    </row>
    <row r="274" customFormat="false" ht="15" hidden="false" customHeight="false" outlineLevel="0" collapsed="false">
      <c r="A274" s="0" t="n">
        <v>14</v>
      </c>
      <c r="B274" s="0" t="s">
        <v>140</v>
      </c>
      <c r="C274" s="0" t="s">
        <v>306</v>
      </c>
      <c r="D274" s="0" t="s">
        <v>32</v>
      </c>
      <c r="E274" s="0" t="s">
        <v>33</v>
      </c>
      <c r="F274" s="0" t="s">
        <v>133</v>
      </c>
      <c r="G274" s="0" t="s">
        <v>35</v>
      </c>
      <c r="H274" s="0" t="s">
        <v>260</v>
      </c>
      <c r="I274" s="0" t="n">
        <v>1</v>
      </c>
      <c r="J274" s="0" t="n">
        <v>156.11</v>
      </c>
      <c r="K274" s="0" t="n">
        <v>103.51</v>
      </c>
    </row>
    <row r="275" customFormat="false" ht="15" hidden="false" customHeight="false" outlineLevel="0" collapsed="false">
      <c r="A275" s="0" t="n">
        <v>18</v>
      </c>
      <c r="B275" s="0" t="s">
        <v>871</v>
      </c>
      <c r="C275" s="0" t="s">
        <v>349</v>
      </c>
      <c r="D275" s="0" t="s">
        <v>721</v>
      </c>
      <c r="E275" s="0" t="s">
        <v>541</v>
      </c>
      <c r="F275" s="0" t="s">
        <v>41</v>
      </c>
      <c r="G275" s="0" t="s">
        <v>35</v>
      </c>
      <c r="H275" s="0" t="s">
        <v>470</v>
      </c>
      <c r="I275" s="0" t="n">
        <v>1</v>
      </c>
      <c r="J275" s="0" t="n">
        <v>1418.18</v>
      </c>
      <c r="K275" s="0" t="n">
        <v>1053.14</v>
      </c>
    </row>
    <row r="276" customFormat="false" ht="15" hidden="false" customHeight="false" outlineLevel="0" collapsed="false">
      <c r="A276" s="0" t="n">
        <v>417</v>
      </c>
      <c r="B276" s="0" t="s">
        <v>872</v>
      </c>
      <c r="C276" s="0" t="s">
        <v>220</v>
      </c>
      <c r="D276" s="0" t="s">
        <v>873</v>
      </c>
      <c r="E276" s="0" t="s">
        <v>874</v>
      </c>
      <c r="F276" s="0" t="s">
        <v>92</v>
      </c>
      <c r="G276" s="0" t="s">
        <v>54</v>
      </c>
      <c r="H276" s="0" t="s">
        <v>875</v>
      </c>
      <c r="I276" s="0" t="n">
        <v>1</v>
      </c>
      <c r="J276" s="0" t="n">
        <v>2503.53</v>
      </c>
      <c r="K276" s="0" t="n">
        <v>1790.48</v>
      </c>
    </row>
    <row r="277" customFormat="false" ht="15" hidden="false" customHeight="false" outlineLevel="0" collapsed="false">
      <c r="A277" s="0" t="n">
        <v>247</v>
      </c>
      <c r="B277" s="0" t="s">
        <v>684</v>
      </c>
      <c r="C277" s="0" t="s">
        <v>313</v>
      </c>
      <c r="D277" s="0" t="s">
        <v>876</v>
      </c>
      <c r="E277" s="0" t="s">
        <v>877</v>
      </c>
      <c r="F277" s="0" t="s">
        <v>102</v>
      </c>
      <c r="G277" s="0" t="s">
        <v>35</v>
      </c>
      <c r="H277" s="0" t="s">
        <v>750</v>
      </c>
      <c r="I277" s="0" t="n">
        <v>1</v>
      </c>
      <c r="J277" s="0" t="n">
        <v>431.1</v>
      </c>
      <c r="K277" s="0" t="n">
        <v>322</v>
      </c>
    </row>
    <row r="278" customFormat="false" ht="15" hidden="false" customHeight="false" outlineLevel="0" collapsed="false">
      <c r="A278" s="0" t="n">
        <v>371</v>
      </c>
      <c r="B278" s="0" t="s">
        <v>125</v>
      </c>
      <c r="C278" s="0" t="s">
        <v>240</v>
      </c>
      <c r="D278" s="0" t="s">
        <v>878</v>
      </c>
      <c r="E278" s="0" t="s">
        <v>879</v>
      </c>
      <c r="F278" s="0" t="s">
        <v>34</v>
      </c>
      <c r="G278" s="0" t="s">
        <v>35</v>
      </c>
      <c r="H278" s="0" t="s">
        <v>840</v>
      </c>
      <c r="I278" s="0" t="n">
        <v>1</v>
      </c>
      <c r="J278" s="0" t="n">
        <v>7151.35</v>
      </c>
      <c r="K278" s="0" t="n">
        <v>5319.38</v>
      </c>
    </row>
    <row r="279" customFormat="false" ht="15" hidden="false" customHeight="false" outlineLevel="0" collapsed="false">
      <c r="A279" s="0" t="n">
        <v>208</v>
      </c>
      <c r="B279" s="0" t="s">
        <v>880</v>
      </c>
      <c r="C279" s="0" t="s">
        <v>488</v>
      </c>
      <c r="D279" s="0" t="s">
        <v>571</v>
      </c>
      <c r="E279" s="0" t="s">
        <v>881</v>
      </c>
      <c r="F279" s="0" t="s">
        <v>356</v>
      </c>
      <c r="G279" s="0" t="s">
        <v>54</v>
      </c>
      <c r="H279" s="0" t="s">
        <v>882</v>
      </c>
      <c r="I279" s="0" t="n">
        <v>1</v>
      </c>
      <c r="J279" s="0" t="n">
        <v>1580.11</v>
      </c>
      <c r="K279" s="0" t="n">
        <v>1131.1</v>
      </c>
    </row>
    <row r="280" customFormat="false" ht="15" hidden="false" customHeight="false" outlineLevel="0" collapsed="false">
      <c r="A280" s="0" t="n">
        <v>91</v>
      </c>
      <c r="B280" s="0" t="s">
        <v>883</v>
      </c>
      <c r="C280" s="0" t="s">
        <v>186</v>
      </c>
      <c r="D280" s="0" t="s">
        <v>137</v>
      </c>
      <c r="E280" s="0" t="s">
        <v>237</v>
      </c>
      <c r="F280" s="0" t="s">
        <v>506</v>
      </c>
      <c r="G280" s="0" t="s">
        <v>35</v>
      </c>
      <c r="H280" s="0" t="s">
        <v>36</v>
      </c>
      <c r="I280" s="0" t="n">
        <v>1</v>
      </c>
      <c r="J280" s="0" t="n">
        <v>2814.58</v>
      </c>
      <c r="K280" s="0" t="n">
        <v>1646.86</v>
      </c>
    </row>
    <row r="281" customFormat="false" ht="15" hidden="false" customHeight="false" outlineLevel="0" collapsed="false">
      <c r="A281" s="0" t="n">
        <v>310</v>
      </c>
      <c r="B281" s="0" t="s">
        <v>884</v>
      </c>
      <c r="C281" s="0" t="s">
        <v>666</v>
      </c>
      <c r="D281" s="0" t="s">
        <v>191</v>
      </c>
      <c r="E281" s="0" t="s">
        <v>96</v>
      </c>
      <c r="F281" s="0" t="s">
        <v>333</v>
      </c>
      <c r="G281" s="0" t="s">
        <v>35</v>
      </c>
      <c r="H281" s="0" t="s">
        <v>508</v>
      </c>
      <c r="I281" s="0" t="n">
        <v>3</v>
      </c>
      <c r="J281" s="0" t="n">
        <v>2854.38</v>
      </c>
      <c r="K281" s="0" t="n">
        <v>1716.93</v>
      </c>
    </row>
    <row r="282" customFormat="false" ht="15" hidden="false" customHeight="false" outlineLevel="0" collapsed="false">
      <c r="A282" s="0" t="n">
        <v>40</v>
      </c>
      <c r="B282" s="0" t="s">
        <v>155</v>
      </c>
      <c r="C282" s="0" t="s">
        <v>885</v>
      </c>
      <c r="D282" s="0" t="s">
        <v>873</v>
      </c>
      <c r="E282" s="0" t="s">
        <v>886</v>
      </c>
      <c r="F282" s="0" t="s">
        <v>333</v>
      </c>
      <c r="G282" s="0" t="s">
        <v>35</v>
      </c>
      <c r="H282" s="0" t="s">
        <v>887</v>
      </c>
      <c r="I282" s="0" t="n">
        <v>1</v>
      </c>
      <c r="J282" s="0" t="n">
        <v>7814.11</v>
      </c>
      <c r="K282" s="0" t="n">
        <v>5932.89</v>
      </c>
    </row>
    <row r="283" customFormat="false" ht="15" hidden="false" customHeight="false" outlineLevel="0" collapsed="false">
      <c r="A283" s="0" t="n">
        <v>87</v>
      </c>
      <c r="B283" s="0" t="s">
        <v>888</v>
      </c>
      <c r="C283" s="0" t="s">
        <v>763</v>
      </c>
      <c r="D283" s="0" t="s">
        <v>833</v>
      </c>
      <c r="E283" s="0" t="s">
        <v>466</v>
      </c>
      <c r="F283" s="0" t="s">
        <v>490</v>
      </c>
      <c r="G283" s="0" t="s">
        <v>35</v>
      </c>
      <c r="H283" s="0" t="s">
        <v>711</v>
      </c>
      <c r="I283" s="0" t="n">
        <v>1</v>
      </c>
      <c r="J283" s="0" t="n">
        <v>302.55</v>
      </c>
      <c r="K283" s="0" t="n">
        <v>209.45</v>
      </c>
    </row>
    <row r="284" customFormat="false" ht="15" hidden="false" customHeight="false" outlineLevel="0" collapsed="false">
      <c r="A284" s="0" t="n">
        <v>182</v>
      </c>
      <c r="B284" s="0" t="s">
        <v>889</v>
      </c>
      <c r="C284" s="0" t="s">
        <v>474</v>
      </c>
      <c r="D284" s="0" t="s">
        <v>392</v>
      </c>
      <c r="E284" s="0" t="s">
        <v>350</v>
      </c>
      <c r="F284" s="0" t="s">
        <v>72</v>
      </c>
      <c r="G284" s="0" t="s">
        <v>35</v>
      </c>
      <c r="H284" s="0" t="s">
        <v>343</v>
      </c>
      <c r="I284" s="0" t="n">
        <v>2</v>
      </c>
      <c r="J284" s="0" t="n">
        <v>4261.72</v>
      </c>
      <c r="K284" s="0" t="n">
        <v>3028.24</v>
      </c>
    </row>
    <row r="285" customFormat="false" ht="15" hidden="false" customHeight="false" outlineLevel="0" collapsed="false">
      <c r="A285" s="0" t="n">
        <v>295</v>
      </c>
      <c r="B285" s="0" t="s">
        <v>890</v>
      </c>
      <c r="C285" s="0" t="s">
        <v>811</v>
      </c>
      <c r="D285" s="0" t="s">
        <v>241</v>
      </c>
      <c r="E285" s="0" t="s">
        <v>679</v>
      </c>
      <c r="F285" s="0" t="s">
        <v>119</v>
      </c>
      <c r="G285" s="0" t="s">
        <v>35</v>
      </c>
      <c r="H285" s="0" t="s">
        <v>700</v>
      </c>
      <c r="I285" s="0" t="n">
        <v>1</v>
      </c>
      <c r="J285" s="0" t="n">
        <v>2767.13</v>
      </c>
      <c r="K285" s="0" t="n">
        <v>1974.79</v>
      </c>
    </row>
    <row r="286" customFormat="false" ht="15" hidden="false" customHeight="false" outlineLevel="0" collapsed="false">
      <c r="A286" s="0" t="n">
        <v>146</v>
      </c>
      <c r="B286" s="0" t="s">
        <v>891</v>
      </c>
      <c r="C286" s="0" t="s">
        <v>892</v>
      </c>
      <c r="D286" s="0" t="s">
        <v>210</v>
      </c>
      <c r="E286" s="0" t="s">
        <v>893</v>
      </c>
      <c r="F286" s="0" t="s">
        <v>609</v>
      </c>
      <c r="G286" s="0" t="s">
        <v>35</v>
      </c>
      <c r="H286" s="0" t="s">
        <v>109</v>
      </c>
      <c r="I286" s="0" t="n">
        <v>1</v>
      </c>
      <c r="J286" s="0" t="n">
        <v>3573.52</v>
      </c>
      <c r="K286" s="0" t="n">
        <v>2745.67</v>
      </c>
    </row>
    <row r="287" customFormat="false" ht="15" hidden="false" customHeight="false" outlineLevel="0" collapsed="false">
      <c r="A287" s="0" t="n">
        <v>159</v>
      </c>
      <c r="B287" s="0" t="s">
        <v>894</v>
      </c>
      <c r="C287" s="0" t="s">
        <v>797</v>
      </c>
      <c r="D287" s="0" t="s">
        <v>692</v>
      </c>
      <c r="E287" s="0" t="s">
        <v>332</v>
      </c>
      <c r="F287" s="0" t="s">
        <v>441</v>
      </c>
      <c r="G287" s="0" t="s">
        <v>54</v>
      </c>
      <c r="H287" s="0" t="s">
        <v>61</v>
      </c>
      <c r="I287" s="0" t="n">
        <v>1</v>
      </c>
      <c r="J287" s="0" t="n">
        <v>207.88</v>
      </c>
      <c r="K287" s="0" t="n">
        <v>130.1</v>
      </c>
    </row>
    <row r="288" customFormat="false" ht="15" hidden="false" customHeight="false" outlineLevel="0" collapsed="false">
      <c r="A288" s="0" t="n">
        <v>354</v>
      </c>
      <c r="B288" s="0" t="s">
        <v>895</v>
      </c>
      <c r="C288" s="0" t="s">
        <v>415</v>
      </c>
      <c r="D288" s="0" t="s">
        <v>70</v>
      </c>
      <c r="E288" s="0" t="s">
        <v>96</v>
      </c>
      <c r="F288" s="0" t="s">
        <v>223</v>
      </c>
      <c r="G288" s="0" t="s">
        <v>35</v>
      </c>
      <c r="H288" s="0" t="s">
        <v>716</v>
      </c>
      <c r="I288" s="0" t="n">
        <v>1</v>
      </c>
      <c r="J288" s="0" t="n">
        <v>2373.01</v>
      </c>
      <c r="K288" s="0" t="n">
        <v>1789.85</v>
      </c>
    </row>
    <row r="289" customFormat="false" ht="15" hidden="false" customHeight="false" outlineLevel="0" collapsed="false">
      <c r="A289" s="0" t="n">
        <v>352</v>
      </c>
      <c r="B289" s="0" t="s">
        <v>896</v>
      </c>
      <c r="C289" s="0" t="s">
        <v>465</v>
      </c>
      <c r="D289" s="0" t="s">
        <v>64</v>
      </c>
      <c r="E289" s="0" t="s">
        <v>511</v>
      </c>
      <c r="F289" s="0" t="s">
        <v>512</v>
      </c>
      <c r="G289" s="0" t="s">
        <v>54</v>
      </c>
      <c r="H289" s="0" t="s">
        <v>897</v>
      </c>
      <c r="I289" s="0" t="n">
        <v>1</v>
      </c>
      <c r="J289" s="0" t="n">
        <v>705.58</v>
      </c>
      <c r="K289" s="0" t="n">
        <v>447.56</v>
      </c>
      <c r="L289" s="0" t="s">
        <v>301</v>
      </c>
    </row>
    <row r="290" customFormat="false" ht="15" hidden="false" customHeight="false" outlineLevel="0" collapsed="false">
      <c r="A290" s="0" t="n">
        <v>413</v>
      </c>
      <c r="B290" s="0" t="s">
        <v>898</v>
      </c>
      <c r="C290" s="0" t="s">
        <v>199</v>
      </c>
      <c r="D290" s="0" t="s">
        <v>876</v>
      </c>
      <c r="E290" s="0" t="s">
        <v>899</v>
      </c>
      <c r="F290" s="0" t="s">
        <v>409</v>
      </c>
      <c r="G290" s="0" t="s">
        <v>35</v>
      </c>
      <c r="H290" s="0" t="s">
        <v>323</v>
      </c>
      <c r="I290" s="0" t="n">
        <v>1</v>
      </c>
      <c r="J290" s="0" t="n">
        <v>885.08</v>
      </c>
      <c r="K290" s="0" t="n">
        <v>584</v>
      </c>
    </row>
    <row r="291" customFormat="false" ht="15" hidden="false" customHeight="false" outlineLevel="0" collapsed="false">
      <c r="A291" s="0" t="n">
        <v>302</v>
      </c>
      <c r="B291" s="0" t="s">
        <v>900</v>
      </c>
      <c r="C291" s="0" t="s">
        <v>901</v>
      </c>
      <c r="D291" s="0" t="s">
        <v>205</v>
      </c>
      <c r="E291" s="0" t="s">
        <v>902</v>
      </c>
      <c r="F291" s="0" t="s">
        <v>490</v>
      </c>
      <c r="G291" s="0" t="s">
        <v>35</v>
      </c>
      <c r="H291" s="0" t="s">
        <v>903</v>
      </c>
      <c r="I291" s="0" t="n">
        <v>1</v>
      </c>
      <c r="J291" s="0" t="n">
        <v>2093.02</v>
      </c>
      <c r="K291" s="0" t="n">
        <v>1229.23</v>
      </c>
    </row>
    <row r="292" customFormat="false" ht="15" hidden="false" customHeight="false" outlineLevel="0" collapsed="false">
      <c r="A292" s="0" t="n">
        <v>201</v>
      </c>
      <c r="B292" s="0" t="s">
        <v>904</v>
      </c>
      <c r="C292" s="0" t="s">
        <v>713</v>
      </c>
      <c r="D292" s="0" t="s">
        <v>695</v>
      </c>
      <c r="E292" s="0" t="s">
        <v>440</v>
      </c>
      <c r="F292" s="0" t="s">
        <v>356</v>
      </c>
      <c r="G292" s="0" t="s">
        <v>54</v>
      </c>
      <c r="H292" s="0" t="s">
        <v>905</v>
      </c>
      <c r="I292" s="0" t="n">
        <v>1</v>
      </c>
      <c r="J292" s="0" t="n">
        <v>1149.91</v>
      </c>
      <c r="K292" s="0" t="n">
        <v>842.18</v>
      </c>
    </row>
    <row r="293" customFormat="false" ht="15" hidden="false" customHeight="false" outlineLevel="0" collapsed="false">
      <c r="A293" s="0" t="n">
        <v>72</v>
      </c>
      <c r="B293" s="0" t="s">
        <v>906</v>
      </c>
      <c r="C293" s="0" t="s">
        <v>907</v>
      </c>
      <c r="D293" s="0" t="s">
        <v>137</v>
      </c>
      <c r="E293" s="0" t="s">
        <v>345</v>
      </c>
      <c r="F293" s="0" t="s">
        <v>192</v>
      </c>
      <c r="G293" s="0" t="s">
        <v>54</v>
      </c>
      <c r="H293" s="0" t="s">
        <v>908</v>
      </c>
      <c r="I293" s="0" t="n">
        <v>2</v>
      </c>
      <c r="J293" s="0" t="n">
        <v>4336.64</v>
      </c>
      <c r="K293" s="0" t="n">
        <v>2661.64</v>
      </c>
    </row>
    <row r="294" customFormat="false" ht="15" hidden="false" customHeight="false" outlineLevel="0" collapsed="false">
      <c r="A294" s="0" t="n">
        <v>331</v>
      </c>
      <c r="B294" s="0" t="s">
        <v>641</v>
      </c>
      <c r="C294" s="0" t="s">
        <v>391</v>
      </c>
      <c r="D294" s="0" t="s">
        <v>799</v>
      </c>
      <c r="E294" s="0" t="s">
        <v>605</v>
      </c>
      <c r="F294" s="0" t="s">
        <v>82</v>
      </c>
      <c r="G294" s="0" t="s">
        <v>35</v>
      </c>
      <c r="H294" s="0" t="s">
        <v>248</v>
      </c>
      <c r="I294" s="0" t="n">
        <v>1</v>
      </c>
      <c r="J294" s="0" t="n">
        <v>373.3</v>
      </c>
      <c r="K294" s="0" t="n">
        <v>217.97</v>
      </c>
    </row>
    <row r="295" customFormat="false" ht="15" hidden="false" customHeight="false" outlineLevel="0" collapsed="false">
      <c r="A295" s="0" t="n">
        <v>215</v>
      </c>
      <c r="B295" s="0" t="s">
        <v>627</v>
      </c>
      <c r="C295" s="0" t="s">
        <v>89</v>
      </c>
      <c r="D295" s="0" t="s">
        <v>275</v>
      </c>
      <c r="E295" s="0" t="s">
        <v>76</v>
      </c>
      <c r="F295" s="0" t="s">
        <v>169</v>
      </c>
      <c r="G295" s="0" t="s">
        <v>35</v>
      </c>
      <c r="H295" s="0" t="s">
        <v>628</v>
      </c>
      <c r="I295" s="0" t="n">
        <v>1</v>
      </c>
      <c r="J295" s="0" t="n">
        <v>818.07</v>
      </c>
      <c r="K295" s="0" t="n">
        <v>457.27</v>
      </c>
    </row>
    <row r="296" customFormat="false" ht="15" hidden="false" customHeight="false" outlineLevel="0" collapsed="false">
      <c r="A296" s="0" t="n">
        <v>356</v>
      </c>
      <c r="B296" s="0" t="s">
        <v>751</v>
      </c>
      <c r="C296" s="0" t="s">
        <v>909</v>
      </c>
      <c r="D296" s="0" t="s">
        <v>910</v>
      </c>
      <c r="E296" s="0" t="s">
        <v>877</v>
      </c>
      <c r="F296" s="0" t="s">
        <v>201</v>
      </c>
      <c r="G296" s="0" t="s">
        <v>54</v>
      </c>
      <c r="H296" s="0" t="s">
        <v>911</v>
      </c>
      <c r="I296" s="0" t="n">
        <v>2</v>
      </c>
      <c r="J296" s="0" t="n">
        <v>83.89</v>
      </c>
      <c r="K296" s="0" t="n">
        <v>58.09</v>
      </c>
    </row>
    <row r="297" customFormat="false" ht="15" hidden="false" customHeight="false" outlineLevel="0" collapsed="false">
      <c r="A297" s="0" t="n">
        <v>341</v>
      </c>
      <c r="B297" s="0" t="s">
        <v>709</v>
      </c>
      <c r="C297" s="0" t="s">
        <v>635</v>
      </c>
      <c r="D297" s="0" t="s">
        <v>912</v>
      </c>
      <c r="E297" s="0" t="s">
        <v>913</v>
      </c>
      <c r="F297" s="0" t="s">
        <v>322</v>
      </c>
      <c r="G297" s="0" t="s">
        <v>35</v>
      </c>
      <c r="H297" s="0" t="s">
        <v>589</v>
      </c>
      <c r="I297" s="0" t="n">
        <v>1</v>
      </c>
      <c r="J297" s="0" t="n">
        <v>4364.54</v>
      </c>
    </row>
    <row r="298" customFormat="false" ht="15" hidden="false" customHeight="false" outlineLevel="0" collapsed="false">
      <c r="A298" s="0" t="n">
        <v>395</v>
      </c>
      <c r="B298" s="0" t="s">
        <v>733</v>
      </c>
      <c r="C298" s="0" t="s">
        <v>734</v>
      </c>
      <c r="D298" s="0" t="s">
        <v>310</v>
      </c>
      <c r="E298" s="0" t="s">
        <v>40</v>
      </c>
      <c r="F298" s="0" t="s">
        <v>72</v>
      </c>
      <c r="G298" s="0" t="s">
        <v>35</v>
      </c>
      <c r="H298" s="0" t="s">
        <v>735</v>
      </c>
      <c r="I298" s="0" t="n">
        <v>1</v>
      </c>
      <c r="J298" s="0" t="n">
        <v>325.28</v>
      </c>
      <c r="K298" s="0" t="n">
        <v>233.4</v>
      </c>
    </row>
    <row r="299" customFormat="false" ht="15" hidden="false" customHeight="false" outlineLevel="0" collapsed="false">
      <c r="A299" s="0" t="n">
        <v>419</v>
      </c>
      <c r="B299" s="0" t="s">
        <v>557</v>
      </c>
      <c r="C299" s="0" t="s">
        <v>439</v>
      </c>
      <c r="D299" s="0" t="s">
        <v>216</v>
      </c>
      <c r="E299" s="0" t="s">
        <v>315</v>
      </c>
      <c r="F299" s="0" t="s">
        <v>34</v>
      </c>
      <c r="G299" s="0" t="s">
        <v>35</v>
      </c>
      <c r="H299" s="0" t="s">
        <v>558</v>
      </c>
      <c r="I299" s="0" t="n">
        <v>1</v>
      </c>
      <c r="J299" s="0" t="n">
        <v>4247.1</v>
      </c>
      <c r="K299" s="0" t="n">
        <v>2490.76</v>
      </c>
    </row>
    <row r="300" customFormat="false" ht="15" hidden="false" customHeight="false" outlineLevel="0" collapsed="false">
      <c r="A300" s="0" t="n">
        <v>134</v>
      </c>
      <c r="B300" s="0" t="s">
        <v>914</v>
      </c>
      <c r="C300" s="0" t="s">
        <v>57</v>
      </c>
      <c r="D300" s="0" t="s">
        <v>540</v>
      </c>
      <c r="E300" s="0" t="s">
        <v>915</v>
      </c>
      <c r="F300" s="0" t="s">
        <v>53</v>
      </c>
      <c r="G300" s="0" t="s">
        <v>35</v>
      </c>
      <c r="H300" s="0" t="s">
        <v>472</v>
      </c>
      <c r="I300" s="0" t="n">
        <v>2</v>
      </c>
      <c r="J300" s="0" t="n">
        <v>2609.96</v>
      </c>
      <c r="K300" s="0" t="n">
        <v>1733.47</v>
      </c>
    </row>
    <row r="301" customFormat="false" ht="15" hidden="false" customHeight="false" outlineLevel="0" collapsed="false">
      <c r="A301" s="0" t="n">
        <v>61</v>
      </c>
      <c r="B301" s="0" t="s">
        <v>738</v>
      </c>
      <c r="C301" s="0" t="s">
        <v>474</v>
      </c>
      <c r="D301" s="0" t="s">
        <v>739</v>
      </c>
      <c r="E301" s="0" t="s">
        <v>740</v>
      </c>
      <c r="F301" s="0" t="s">
        <v>41</v>
      </c>
      <c r="G301" s="0" t="s">
        <v>35</v>
      </c>
      <c r="H301" s="0" t="s">
        <v>741</v>
      </c>
      <c r="I301" s="0" t="n">
        <v>0</v>
      </c>
      <c r="J301" s="0" t="n">
        <v>101.03</v>
      </c>
      <c r="K301" s="0" t="n">
        <v>66.32</v>
      </c>
    </row>
    <row r="302" customFormat="false" ht="15" hidden="false" customHeight="false" outlineLevel="0" collapsed="false">
      <c r="A302" s="0" t="n">
        <v>326</v>
      </c>
      <c r="B302" s="0" t="s">
        <v>776</v>
      </c>
      <c r="C302" s="0" t="s">
        <v>268</v>
      </c>
      <c r="D302" s="0" t="s">
        <v>256</v>
      </c>
      <c r="E302" s="0" t="s">
        <v>237</v>
      </c>
      <c r="F302" s="0" t="s">
        <v>238</v>
      </c>
      <c r="G302" s="0" t="s">
        <v>54</v>
      </c>
      <c r="H302" s="0" t="s">
        <v>308</v>
      </c>
      <c r="I302" s="0" t="n">
        <v>1</v>
      </c>
      <c r="J302" s="0" t="n">
        <v>2284.97</v>
      </c>
      <c r="K302" s="0" t="n">
        <v>1353.33</v>
      </c>
    </row>
    <row r="303" customFormat="false" ht="15" hidden="false" customHeight="false" outlineLevel="0" collapsed="false">
      <c r="A303" s="0" t="n">
        <v>418</v>
      </c>
      <c r="B303" s="0" t="s">
        <v>916</v>
      </c>
      <c r="C303" s="0" t="s">
        <v>146</v>
      </c>
      <c r="D303" s="0" t="s">
        <v>571</v>
      </c>
      <c r="E303" s="0" t="s">
        <v>621</v>
      </c>
      <c r="F303" s="0" t="s">
        <v>450</v>
      </c>
      <c r="G303" s="0" t="s">
        <v>54</v>
      </c>
      <c r="H303" s="0" t="s">
        <v>917</v>
      </c>
      <c r="I303" s="0" t="n">
        <v>1</v>
      </c>
      <c r="J303" s="0" t="n">
        <v>3738.5</v>
      </c>
      <c r="K303" s="0" t="n">
        <v>2083.82</v>
      </c>
    </row>
    <row r="304" customFormat="false" ht="15" hidden="false" customHeight="false" outlineLevel="0" collapsed="false">
      <c r="A304" s="0" t="n">
        <v>101</v>
      </c>
      <c r="B304" s="0" t="s">
        <v>918</v>
      </c>
      <c r="C304" s="0" t="s">
        <v>919</v>
      </c>
      <c r="D304" s="0" t="s">
        <v>912</v>
      </c>
      <c r="E304" s="0" t="s">
        <v>679</v>
      </c>
      <c r="F304" s="0" t="s">
        <v>351</v>
      </c>
      <c r="G304" s="0" t="s">
        <v>35</v>
      </c>
      <c r="H304" s="0" t="s">
        <v>124</v>
      </c>
      <c r="I304" s="0" t="n">
        <v>2</v>
      </c>
      <c r="J304" s="0" t="n">
        <v>6121.64</v>
      </c>
      <c r="K304" s="0" t="n">
        <v>3401.33</v>
      </c>
    </row>
    <row r="305" customFormat="false" ht="15" hidden="false" customHeight="false" outlineLevel="0" collapsed="false">
      <c r="A305" s="0" t="n">
        <v>20</v>
      </c>
      <c r="B305" s="0" t="s">
        <v>920</v>
      </c>
      <c r="C305" s="0" t="s">
        <v>166</v>
      </c>
      <c r="D305" s="0" t="s">
        <v>921</v>
      </c>
      <c r="E305" s="0" t="s">
        <v>206</v>
      </c>
      <c r="F305" s="0" t="s">
        <v>159</v>
      </c>
      <c r="G305" s="0" t="s">
        <v>35</v>
      </c>
      <c r="H305" s="0" t="s">
        <v>500</v>
      </c>
      <c r="I305" s="0" t="n">
        <v>1</v>
      </c>
      <c r="J305" s="0" t="n">
        <v>1453.24</v>
      </c>
      <c r="K305" s="0" t="n">
        <v>800.58</v>
      </c>
    </row>
    <row r="306" customFormat="false" ht="15" hidden="false" customHeight="false" outlineLevel="0" collapsed="false">
      <c r="A306" s="0" t="n">
        <v>334</v>
      </c>
      <c r="B306" s="0" t="s">
        <v>922</v>
      </c>
      <c r="C306" s="0" t="s">
        <v>69</v>
      </c>
      <c r="D306" s="0" t="s">
        <v>502</v>
      </c>
      <c r="E306" s="0" t="s">
        <v>413</v>
      </c>
      <c r="F306" s="0" t="s">
        <v>114</v>
      </c>
      <c r="G306" s="0" t="s">
        <v>35</v>
      </c>
      <c r="H306" s="0" t="s">
        <v>923</v>
      </c>
      <c r="I306" s="0" t="n">
        <v>1</v>
      </c>
      <c r="J306" s="0" t="n">
        <v>5990.46</v>
      </c>
      <c r="K306" s="0" t="n">
        <v>3857.98</v>
      </c>
    </row>
    <row r="307" customFormat="false" ht="15" hidden="false" customHeight="false" outlineLevel="0" collapsed="false">
      <c r="A307" s="0" t="n">
        <v>405</v>
      </c>
      <c r="B307" s="0" t="s">
        <v>924</v>
      </c>
      <c r="C307" s="0" t="s">
        <v>465</v>
      </c>
      <c r="D307" s="0" t="s">
        <v>39</v>
      </c>
      <c r="E307" s="0" t="s">
        <v>76</v>
      </c>
      <c r="F307" s="0" t="s">
        <v>366</v>
      </c>
      <c r="G307" s="0" t="s">
        <v>35</v>
      </c>
      <c r="H307" s="0" t="s">
        <v>925</v>
      </c>
      <c r="I307" s="0" t="n">
        <v>1</v>
      </c>
      <c r="J307" s="0" t="n">
        <v>603.54</v>
      </c>
      <c r="K307" s="0" t="n">
        <v>430.89</v>
      </c>
    </row>
    <row r="308" customFormat="false" ht="15" hidden="false" customHeight="false" outlineLevel="0" collapsed="false">
      <c r="A308" s="0" t="n">
        <v>265</v>
      </c>
      <c r="B308" s="0" t="s">
        <v>926</v>
      </c>
      <c r="C308" s="0" t="s">
        <v>734</v>
      </c>
      <c r="D308" s="0" t="s">
        <v>786</v>
      </c>
      <c r="E308" s="0" t="s">
        <v>927</v>
      </c>
      <c r="F308" s="0" t="s">
        <v>47</v>
      </c>
      <c r="G308" s="0" t="s">
        <v>35</v>
      </c>
      <c r="H308" s="0" t="s">
        <v>928</v>
      </c>
      <c r="I308" s="0" t="n">
        <v>1</v>
      </c>
      <c r="J308" s="0" t="n">
        <v>5409.72</v>
      </c>
      <c r="K308" s="0" t="n">
        <v>3176.75</v>
      </c>
    </row>
    <row r="309" customFormat="false" ht="15" hidden="false" customHeight="false" outlineLevel="0" collapsed="false">
      <c r="A309" s="0" t="n">
        <v>277</v>
      </c>
      <c r="B309" s="0" t="s">
        <v>929</v>
      </c>
      <c r="C309" s="0" t="s">
        <v>510</v>
      </c>
      <c r="D309" s="0" t="s">
        <v>618</v>
      </c>
      <c r="E309" s="0" t="s">
        <v>639</v>
      </c>
      <c r="F309" s="0" t="s">
        <v>159</v>
      </c>
      <c r="G309" s="0" t="s">
        <v>35</v>
      </c>
      <c r="H309" s="0" t="s">
        <v>930</v>
      </c>
      <c r="I309" s="0" t="n">
        <v>1</v>
      </c>
      <c r="J309" s="0" t="n">
        <v>111.63</v>
      </c>
    </row>
    <row r="310" customFormat="false" ht="15" hidden="false" customHeight="false" outlineLevel="0" collapsed="false">
      <c r="A310" s="0" t="n">
        <v>9</v>
      </c>
      <c r="B310" s="0" t="s">
        <v>931</v>
      </c>
      <c r="C310" s="0" t="s">
        <v>435</v>
      </c>
      <c r="D310" s="0" t="s">
        <v>601</v>
      </c>
      <c r="E310" s="0" t="s">
        <v>932</v>
      </c>
      <c r="F310" s="0" t="s">
        <v>66</v>
      </c>
      <c r="G310" s="0" t="s">
        <v>54</v>
      </c>
      <c r="H310" s="0" t="s">
        <v>897</v>
      </c>
      <c r="I310" s="0" t="n">
        <v>1</v>
      </c>
      <c r="J310" s="0" t="n">
        <v>2318.75</v>
      </c>
      <c r="K310" s="0" t="n">
        <v>1325.46</v>
      </c>
    </row>
    <row r="311" customFormat="false" ht="15" hidden="false" customHeight="false" outlineLevel="0" collapsed="false">
      <c r="A311" s="0" t="n">
        <v>284</v>
      </c>
      <c r="B311" s="0" t="s">
        <v>933</v>
      </c>
      <c r="C311" s="0" t="s">
        <v>934</v>
      </c>
      <c r="D311" s="0" t="s">
        <v>153</v>
      </c>
      <c r="E311" s="0" t="s">
        <v>774</v>
      </c>
      <c r="F311" s="0" t="s">
        <v>163</v>
      </c>
      <c r="G311" s="0" t="s">
        <v>35</v>
      </c>
      <c r="H311" s="0" t="s">
        <v>935</v>
      </c>
      <c r="I311" s="0" t="n">
        <v>1</v>
      </c>
      <c r="J311" s="0" t="n">
        <v>126.45</v>
      </c>
    </row>
    <row r="312" customFormat="false" ht="15" hidden="false" customHeight="false" outlineLevel="0" collapsed="false">
      <c r="A312" s="0" t="n">
        <v>93</v>
      </c>
      <c r="B312" s="0" t="s">
        <v>936</v>
      </c>
      <c r="C312" s="0" t="s">
        <v>937</v>
      </c>
      <c r="D312" s="0" t="s">
        <v>571</v>
      </c>
      <c r="E312" s="0" t="s">
        <v>499</v>
      </c>
      <c r="F312" s="0" t="s">
        <v>102</v>
      </c>
      <c r="G312" s="0" t="s">
        <v>35</v>
      </c>
      <c r="H312" s="0" t="s">
        <v>180</v>
      </c>
      <c r="I312" s="0" t="n">
        <v>1</v>
      </c>
      <c r="J312" s="0" t="n">
        <v>1557.22</v>
      </c>
      <c r="K312" s="0" t="n">
        <v>954.57</v>
      </c>
    </row>
    <row r="313" customFormat="false" ht="15" hidden="false" customHeight="false" outlineLevel="0" collapsed="false">
      <c r="A313" s="0" t="n">
        <v>253</v>
      </c>
      <c r="B313" s="0" t="s">
        <v>759</v>
      </c>
      <c r="C313" s="0" t="s">
        <v>130</v>
      </c>
      <c r="D313" s="0" t="s">
        <v>51</v>
      </c>
      <c r="E313" s="0" t="s">
        <v>293</v>
      </c>
      <c r="F313" s="0" t="s">
        <v>362</v>
      </c>
      <c r="G313" s="0" t="s">
        <v>35</v>
      </c>
      <c r="H313" s="0" t="s">
        <v>266</v>
      </c>
      <c r="I313" s="0" t="n">
        <v>2</v>
      </c>
      <c r="J313" s="0" t="n">
        <v>479.33</v>
      </c>
      <c r="K313" s="0" t="n">
        <v>347.01</v>
      </c>
    </row>
    <row r="314" customFormat="false" ht="15" hidden="false" customHeight="false" outlineLevel="0" collapsed="false">
      <c r="A314" s="0" t="n">
        <v>33</v>
      </c>
      <c r="B314" s="0" t="s">
        <v>938</v>
      </c>
      <c r="C314" s="0" t="s">
        <v>152</v>
      </c>
      <c r="D314" s="0" t="s">
        <v>275</v>
      </c>
      <c r="E314" s="0" t="s">
        <v>567</v>
      </c>
      <c r="F314" s="0" t="s">
        <v>366</v>
      </c>
      <c r="G314" s="0" t="s">
        <v>35</v>
      </c>
      <c r="H314" s="0" t="s">
        <v>696</v>
      </c>
      <c r="I314" s="0" t="n">
        <v>1</v>
      </c>
      <c r="J314" s="0" t="n">
        <v>200.08</v>
      </c>
      <c r="K314" s="0" t="n">
        <v>126.37</v>
      </c>
    </row>
    <row r="315" customFormat="false" ht="15" hidden="false" customHeight="false" outlineLevel="0" collapsed="false">
      <c r="A315" s="0" t="n">
        <v>136</v>
      </c>
      <c r="B315" s="0" t="s">
        <v>481</v>
      </c>
      <c r="C315" s="0" t="s">
        <v>448</v>
      </c>
      <c r="D315" s="0" t="s">
        <v>256</v>
      </c>
      <c r="E315" s="0" t="s">
        <v>844</v>
      </c>
      <c r="F315" s="0" t="s">
        <v>277</v>
      </c>
      <c r="G315" s="0" t="s">
        <v>35</v>
      </c>
      <c r="H315" s="0" t="s">
        <v>73</v>
      </c>
      <c r="I315" s="0" t="n">
        <v>1</v>
      </c>
      <c r="J315" s="0" t="n">
        <v>3010.43</v>
      </c>
      <c r="K315" s="0" t="n">
        <v>1768.74</v>
      </c>
    </row>
    <row r="316" customFormat="false" ht="15" hidden="false" customHeight="false" outlineLevel="0" collapsed="false">
      <c r="A316" s="0" t="n">
        <v>23</v>
      </c>
      <c r="B316" s="0" t="s">
        <v>939</v>
      </c>
      <c r="C316" s="0" t="s">
        <v>465</v>
      </c>
      <c r="D316" s="0" t="s">
        <v>354</v>
      </c>
      <c r="E316" s="0" t="s">
        <v>59</v>
      </c>
      <c r="F316" s="0" t="s">
        <v>356</v>
      </c>
      <c r="G316" s="0" t="s">
        <v>35</v>
      </c>
      <c r="H316" s="0" t="s">
        <v>202</v>
      </c>
      <c r="I316" s="0" t="n">
        <v>2</v>
      </c>
      <c r="J316" s="0" t="n">
        <v>277.2</v>
      </c>
      <c r="K316" s="0" t="n">
        <v>159.53</v>
      </c>
    </row>
    <row r="317" customFormat="false" ht="15" hidden="false" customHeight="false" outlineLevel="0" collapsed="false">
      <c r="A317" s="0" t="n">
        <v>63</v>
      </c>
      <c r="B317" s="0" t="s">
        <v>292</v>
      </c>
      <c r="C317" s="0" t="s">
        <v>782</v>
      </c>
      <c r="D317" s="0" t="s">
        <v>32</v>
      </c>
      <c r="E317" s="0" t="s">
        <v>639</v>
      </c>
      <c r="F317" s="0" t="s">
        <v>149</v>
      </c>
      <c r="G317" s="0" t="s">
        <v>35</v>
      </c>
      <c r="H317" s="0" t="s">
        <v>406</v>
      </c>
      <c r="I317" s="0" t="n">
        <v>2</v>
      </c>
      <c r="J317" s="0" t="n">
        <v>70.61</v>
      </c>
      <c r="K317" s="0" t="n">
        <v>53.13</v>
      </c>
      <c r="L317" s="0" t="s">
        <v>301</v>
      </c>
    </row>
    <row r="318" customFormat="false" ht="15" hidden="false" customHeight="false" outlineLevel="0" collapsed="false">
      <c r="A318" s="0" t="n">
        <v>165</v>
      </c>
      <c r="B318" s="0" t="s">
        <v>273</v>
      </c>
      <c r="C318" s="0" t="s">
        <v>274</v>
      </c>
      <c r="D318" s="0" t="s">
        <v>275</v>
      </c>
      <c r="E318" s="0" t="s">
        <v>276</v>
      </c>
      <c r="F318" s="0" t="s">
        <v>277</v>
      </c>
      <c r="G318" s="0" t="s">
        <v>35</v>
      </c>
      <c r="H318" s="0" t="s">
        <v>278</v>
      </c>
      <c r="I318" s="0" t="n">
        <v>1</v>
      </c>
      <c r="J318" s="0" t="n">
        <v>257.41</v>
      </c>
      <c r="K318" s="0" t="n">
        <v>160.38</v>
      </c>
    </row>
    <row r="319" customFormat="false" ht="15" hidden="false" customHeight="false" outlineLevel="0" collapsed="false">
      <c r="A319" s="0" t="n">
        <v>216</v>
      </c>
      <c r="B319" s="0" t="s">
        <v>940</v>
      </c>
      <c r="C319" s="0" t="s">
        <v>380</v>
      </c>
      <c r="D319" s="0" t="s">
        <v>651</v>
      </c>
      <c r="E319" s="0" t="s">
        <v>384</v>
      </c>
      <c r="F319" s="0" t="s">
        <v>60</v>
      </c>
      <c r="G319" s="0" t="s">
        <v>35</v>
      </c>
      <c r="H319" s="0" t="s">
        <v>941</v>
      </c>
      <c r="I319" s="0" t="n">
        <v>1</v>
      </c>
      <c r="J319" s="0" t="n">
        <v>1967.42</v>
      </c>
      <c r="K319" s="0" t="n">
        <v>1429.38</v>
      </c>
    </row>
    <row r="320" customFormat="false" ht="15" hidden="false" customHeight="false" outlineLevel="0" collapsed="false">
      <c r="A320" s="0" t="n">
        <v>359</v>
      </c>
      <c r="B320" s="0" t="s">
        <v>942</v>
      </c>
      <c r="C320" s="0" t="s">
        <v>811</v>
      </c>
      <c r="D320" s="0" t="s">
        <v>432</v>
      </c>
      <c r="E320" s="0" t="s">
        <v>943</v>
      </c>
      <c r="F320" s="0" t="s">
        <v>53</v>
      </c>
      <c r="G320" s="0" t="s">
        <v>35</v>
      </c>
      <c r="H320" s="0" t="s">
        <v>944</v>
      </c>
      <c r="I320" s="0" t="n">
        <v>1</v>
      </c>
      <c r="J320" s="0" t="n">
        <v>4029.89</v>
      </c>
      <c r="K320" s="0" t="n">
        <v>2900.34</v>
      </c>
    </row>
    <row r="321" customFormat="false" ht="15" hidden="false" customHeight="false" outlineLevel="0" collapsed="false">
      <c r="A321" s="0" t="n">
        <v>369</v>
      </c>
      <c r="B321" s="0" t="s">
        <v>945</v>
      </c>
      <c r="C321" s="0" t="s">
        <v>117</v>
      </c>
      <c r="D321" s="0" t="s">
        <v>449</v>
      </c>
      <c r="E321" s="0" t="s">
        <v>456</v>
      </c>
      <c r="F321" s="0" t="s">
        <v>519</v>
      </c>
      <c r="G321" s="0" t="s">
        <v>54</v>
      </c>
      <c r="H321" s="0" t="s">
        <v>946</v>
      </c>
      <c r="I321" s="0" t="n">
        <v>1</v>
      </c>
      <c r="J321" s="0" t="n">
        <v>759.12</v>
      </c>
      <c r="K321" s="0" t="n">
        <v>519.86</v>
      </c>
    </row>
    <row r="322" customFormat="false" ht="15" hidden="false" customHeight="false" outlineLevel="0" collapsed="false">
      <c r="A322" s="0" t="n">
        <v>258</v>
      </c>
      <c r="B322" s="0" t="s">
        <v>947</v>
      </c>
      <c r="C322" s="0" t="s">
        <v>797</v>
      </c>
      <c r="D322" s="0" t="s">
        <v>723</v>
      </c>
      <c r="E322" s="0" t="s">
        <v>893</v>
      </c>
      <c r="F322" s="0" t="s">
        <v>362</v>
      </c>
      <c r="G322" s="0" t="s">
        <v>35</v>
      </c>
      <c r="H322" s="0" t="s">
        <v>500</v>
      </c>
      <c r="I322" s="0" t="n">
        <v>1</v>
      </c>
      <c r="J322" s="0" t="n">
        <v>7859.29</v>
      </c>
      <c r="K322" s="0" t="n">
        <v>5500.59</v>
      </c>
    </row>
    <row r="323" customFormat="false" ht="15" hidden="false" customHeight="false" outlineLevel="0" collapsed="false">
      <c r="A323" s="0" t="n">
        <v>53</v>
      </c>
      <c r="B323" s="0" t="s">
        <v>526</v>
      </c>
      <c r="C323" s="0" t="s">
        <v>130</v>
      </c>
      <c r="D323" s="0" t="s">
        <v>536</v>
      </c>
      <c r="E323" s="0" t="s">
        <v>384</v>
      </c>
      <c r="F323" s="0" t="s">
        <v>102</v>
      </c>
      <c r="G323" s="0" t="s">
        <v>35</v>
      </c>
      <c r="H323" s="0" t="s">
        <v>139</v>
      </c>
      <c r="I323" s="0" t="n">
        <v>1</v>
      </c>
      <c r="J323" s="0" t="n">
        <v>4050.15</v>
      </c>
      <c r="K323" s="0" t="n">
        <v>2548.06</v>
      </c>
    </row>
    <row r="324" customFormat="false" ht="15" hidden="false" customHeight="false" outlineLevel="0" collapsed="false">
      <c r="A324" s="0" t="n">
        <v>360</v>
      </c>
      <c r="B324" s="0" t="s">
        <v>948</v>
      </c>
      <c r="C324" s="0" t="s">
        <v>313</v>
      </c>
      <c r="D324" s="0" t="s">
        <v>354</v>
      </c>
      <c r="E324" s="0" t="s">
        <v>764</v>
      </c>
      <c r="F324" s="0" t="s">
        <v>119</v>
      </c>
      <c r="G324" s="0" t="s">
        <v>35</v>
      </c>
      <c r="H324" s="0" t="s">
        <v>949</v>
      </c>
      <c r="I324" s="0" t="n">
        <v>1</v>
      </c>
      <c r="J324" s="0" t="n">
        <v>271.31</v>
      </c>
      <c r="K324" s="0" t="n">
        <v>189.69</v>
      </c>
    </row>
    <row r="325" customFormat="false" ht="15" hidden="false" customHeight="false" outlineLevel="0" collapsed="false">
      <c r="A325" s="0" t="n">
        <v>174</v>
      </c>
      <c r="B325" s="0" t="s">
        <v>950</v>
      </c>
      <c r="C325" s="0" t="s">
        <v>439</v>
      </c>
      <c r="D325" s="0" t="s">
        <v>951</v>
      </c>
      <c r="E325" s="0" t="s">
        <v>952</v>
      </c>
      <c r="F325" s="0" t="s">
        <v>519</v>
      </c>
      <c r="G325" s="0" t="s">
        <v>35</v>
      </c>
      <c r="H325" s="0" t="s">
        <v>229</v>
      </c>
      <c r="I325" s="0" t="n">
        <v>1</v>
      </c>
      <c r="J325" s="0" t="n">
        <v>3366.81</v>
      </c>
      <c r="K325" s="0" t="n">
        <v>2241.25</v>
      </c>
    </row>
    <row r="326" customFormat="false" ht="15" hidden="false" customHeight="false" outlineLevel="0" collapsed="false">
      <c r="A326" s="0" t="n">
        <v>36</v>
      </c>
      <c r="B326" s="0" t="s">
        <v>953</v>
      </c>
      <c r="C326" s="0" t="s">
        <v>204</v>
      </c>
      <c r="D326" s="0" t="s">
        <v>246</v>
      </c>
      <c r="E326" s="0" t="s">
        <v>337</v>
      </c>
      <c r="F326" s="0" t="s">
        <v>108</v>
      </c>
      <c r="G326" s="0" t="s">
        <v>35</v>
      </c>
      <c r="H326" s="0" t="s">
        <v>954</v>
      </c>
      <c r="I326" s="0" t="n">
        <v>1</v>
      </c>
      <c r="J326" s="0" t="n">
        <v>2669.38</v>
      </c>
      <c r="K326" s="0" t="n">
        <v>1984.57</v>
      </c>
    </row>
    <row r="327" customFormat="false" ht="15" hidden="false" customHeight="false" outlineLevel="0" collapsed="false">
      <c r="A327" s="0" t="n">
        <v>179</v>
      </c>
      <c r="B327" s="0" t="s">
        <v>955</v>
      </c>
      <c r="C327" s="0" t="s">
        <v>89</v>
      </c>
      <c r="D327" s="0" t="s">
        <v>122</v>
      </c>
      <c r="E327" s="0" t="s">
        <v>881</v>
      </c>
      <c r="F327" s="0" t="s">
        <v>351</v>
      </c>
      <c r="G327" s="0" t="s">
        <v>35</v>
      </c>
      <c r="H327" s="0" t="s">
        <v>956</v>
      </c>
      <c r="I327" s="0" t="n">
        <v>1</v>
      </c>
      <c r="J327" s="0" t="n">
        <v>2261.06</v>
      </c>
      <c r="K327" s="0" t="n">
        <v>1485.41</v>
      </c>
    </row>
    <row r="328" customFormat="false" ht="15" hidden="false" customHeight="false" outlineLevel="0" collapsed="false">
      <c r="A328" s="0" t="n">
        <v>168</v>
      </c>
      <c r="B328" s="0" t="s">
        <v>957</v>
      </c>
      <c r="C328" s="0" t="s">
        <v>99</v>
      </c>
      <c r="D328" s="0" t="s">
        <v>958</v>
      </c>
      <c r="E328" s="0" t="s">
        <v>337</v>
      </c>
      <c r="F328" s="0" t="s">
        <v>441</v>
      </c>
      <c r="G328" s="0" t="s">
        <v>35</v>
      </c>
      <c r="H328" s="0" t="s">
        <v>483</v>
      </c>
      <c r="I328" s="0" t="n">
        <v>1</v>
      </c>
      <c r="J328" s="0" t="n">
        <v>4087.86</v>
      </c>
      <c r="K328" s="0" t="n">
        <v>2665.72</v>
      </c>
    </row>
    <row r="329" customFormat="false" ht="15" hidden="false" customHeight="false" outlineLevel="0" collapsed="false">
      <c r="A329" s="0" t="n">
        <v>227</v>
      </c>
      <c r="B329" s="0" t="s">
        <v>418</v>
      </c>
      <c r="C329" s="0" t="s">
        <v>284</v>
      </c>
      <c r="D329" s="0" t="s">
        <v>659</v>
      </c>
      <c r="E329" s="0" t="s">
        <v>138</v>
      </c>
      <c r="F329" s="0" t="s">
        <v>609</v>
      </c>
      <c r="G329" s="0" t="s">
        <v>54</v>
      </c>
      <c r="H329" s="0" t="s">
        <v>959</v>
      </c>
      <c r="I329" s="0" t="n">
        <v>1</v>
      </c>
      <c r="J329" s="0" t="n">
        <v>1792.32</v>
      </c>
      <c r="K329" s="0" t="n">
        <v>1171.22</v>
      </c>
    </row>
    <row r="330" customFormat="false" ht="15" hidden="false" customHeight="false" outlineLevel="0" collapsed="false">
      <c r="A330" s="0" t="n">
        <v>121</v>
      </c>
      <c r="B330" s="0" t="s">
        <v>656</v>
      </c>
      <c r="C330" s="0" t="s">
        <v>272</v>
      </c>
      <c r="D330" s="0" t="s">
        <v>960</v>
      </c>
      <c r="E330" s="0" t="s">
        <v>433</v>
      </c>
      <c r="F330" s="0" t="s">
        <v>34</v>
      </c>
      <c r="G330" s="0" t="s">
        <v>54</v>
      </c>
      <c r="H330" s="0" t="s">
        <v>961</v>
      </c>
      <c r="I330" s="0" t="n">
        <v>1</v>
      </c>
      <c r="J330" s="0" t="n">
        <v>4479.63</v>
      </c>
      <c r="K330" s="0" t="n">
        <v>2769.03</v>
      </c>
    </row>
    <row r="331" customFormat="false" ht="15" hidden="false" customHeight="false" outlineLevel="0" collapsed="false">
      <c r="A331" s="0" t="n">
        <v>276</v>
      </c>
      <c r="B331" s="0" t="s">
        <v>566</v>
      </c>
      <c r="C331" s="0" t="s">
        <v>562</v>
      </c>
      <c r="D331" s="0" t="s">
        <v>958</v>
      </c>
      <c r="E331" s="0" t="s">
        <v>572</v>
      </c>
      <c r="F331" s="0" t="s">
        <v>47</v>
      </c>
      <c r="G331" s="0" t="s">
        <v>35</v>
      </c>
      <c r="H331" s="0" t="s">
        <v>652</v>
      </c>
      <c r="I331" s="0" t="n">
        <v>1</v>
      </c>
      <c r="J331" s="0" t="n">
        <v>2053.24</v>
      </c>
      <c r="K331" s="0" t="n">
        <v>1185.33</v>
      </c>
      <c r="L331" s="0" t="s">
        <v>301</v>
      </c>
    </row>
    <row r="332" customFormat="false" ht="15" hidden="false" customHeight="false" outlineLevel="0" collapsed="false">
      <c r="A332" s="0" t="n">
        <v>45</v>
      </c>
      <c r="B332" s="0" t="s">
        <v>962</v>
      </c>
      <c r="C332" s="0" t="s">
        <v>763</v>
      </c>
      <c r="D332" s="0" t="s">
        <v>246</v>
      </c>
      <c r="E332" s="0" t="s">
        <v>608</v>
      </c>
      <c r="F332" s="0" t="s">
        <v>108</v>
      </c>
      <c r="G332" s="0" t="s">
        <v>35</v>
      </c>
      <c r="H332" s="0" t="s">
        <v>750</v>
      </c>
      <c r="I332" s="0" t="n">
        <v>1</v>
      </c>
      <c r="J332" s="0" t="n">
        <v>2355.14</v>
      </c>
      <c r="K332" s="0" t="n">
        <v>1429.16</v>
      </c>
    </row>
    <row r="333" customFormat="false" ht="15" hidden="false" customHeight="false" outlineLevel="0" collapsed="false">
      <c r="A333" s="0" t="n">
        <v>301</v>
      </c>
      <c r="B333" s="0" t="s">
        <v>963</v>
      </c>
      <c r="C333" s="0" t="s">
        <v>435</v>
      </c>
      <c r="D333" s="0" t="s">
        <v>833</v>
      </c>
      <c r="E333" s="0" t="s">
        <v>964</v>
      </c>
      <c r="F333" s="0" t="s">
        <v>212</v>
      </c>
      <c r="G333" s="0" t="s">
        <v>35</v>
      </c>
      <c r="H333" s="0" t="s">
        <v>109</v>
      </c>
      <c r="I333" s="0" t="n">
        <v>1</v>
      </c>
      <c r="J333" s="0" t="n">
        <v>79.27</v>
      </c>
      <c r="K333" s="0" t="n">
        <v>54.9</v>
      </c>
    </row>
    <row r="334" customFormat="false" ht="15" hidden="false" customHeight="false" outlineLevel="0" collapsed="false">
      <c r="A334" s="0" t="n">
        <v>325</v>
      </c>
      <c r="B334" s="0" t="s">
        <v>804</v>
      </c>
      <c r="C334" s="0" t="s">
        <v>250</v>
      </c>
      <c r="D334" s="0" t="s">
        <v>878</v>
      </c>
      <c r="E334" s="0" t="s">
        <v>413</v>
      </c>
      <c r="F334" s="0" t="s">
        <v>299</v>
      </c>
      <c r="G334" s="0" t="s">
        <v>35</v>
      </c>
      <c r="H334" s="0" t="s">
        <v>304</v>
      </c>
      <c r="I334" s="0" t="n">
        <v>2</v>
      </c>
      <c r="J334" s="0" t="n">
        <v>2797.3</v>
      </c>
      <c r="K334" s="0" t="n">
        <v>2169.51</v>
      </c>
    </row>
    <row r="335" customFormat="false" ht="15" hidden="false" customHeight="false" outlineLevel="0" collapsed="false">
      <c r="A335" s="0" t="n">
        <v>77</v>
      </c>
      <c r="B335" s="0" t="s">
        <v>590</v>
      </c>
      <c r="C335" s="0" t="s">
        <v>965</v>
      </c>
      <c r="D335" s="0" t="s">
        <v>563</v>
      </c>
      <c r="E335" s="0" t="s">
        <v>408</v>
      </c>
      <c r="F335" s="0" t="s">
        <v>77</v>
      </c>
      <c r="G335" s="0" t="s">
        <v>54</v>
      </c>
      <c r="H335" s="0" t="s">
        <v>213</v>
      </c>
      <c r="I335" s="0" t="n">
        <v>1</v>
      </c>
      <c r="J335" s="0" t="n">
        <v>83.69</v>
      </c>
      <c r="K335" s="0" t="n">
        <v>59.07</v>
      </c>
    </row>
    <row r="336" customFormat="false" ht="15" hidden="false" customHeight="false" outlineLevel="0" collapsed="false">
      <c r="A336" s="0" t="n">
        <v>209</v>
      </c>
      <c r="B336" s="0" t="s">
        <v>966</v>
      </c>
      <c r="C336" s="0" t="s">
        <v>176</v>
      </c>
      <c r="D336" s="0" t="s">
        <v>90</v>
      </c>
      <c r="E336" s="0" t="s">
        <v>211</v>
      </c>
      <c r="F336" s="0" t="s">
        <v>506</v>
      </c>
      <c r="G336" s="0" t="s">
        <v>35</v>
      </c>
      <c r="H336" s="0" t="s">
        <v>967</v>
      </c>
      <c r="I336" s="0" t="n">
        <v>1</v>
      </c>
      <c r="J336" s="0" t="n">
        <v>3219.9</v>
      </c>
      <c r="K336" s="0" t="n">
        <v>1995.31</v>
      </c>
    </row>
    <row r="337" customFormat="false" ht="15" hidden="false" customHeight="false" outlineLevel="0" collapsed="false">
      <c r="A337" s="0" t="n">
        <v>213</v>
      </c>
      <c r="B337" s="0" t="s">
        <v>368</v>
      </c>
      <c r="C337" s="0" t="s">
        <v>50</v>
      </c>
      <c r="D337" s="0" t="s">
        <v>137</v>
      </c>
      <c r="E337" s="0" t="s">
        <v>636</v>
      </c>
      <c r="F337" s="0" t="s">
        <v>102</v>
      </c>
      <c r="G337" s="0" t="s">
        <v>35</v>
      </c>
      <c r="H337" s="0" t="s">
        <v>800</v>
      </c>
      <c r="I337" s="0" t="n">
        <v>1</v>
      </c>
      <c r="J337" s="0" t="n">
        <v>4422.99</v>
      </c>
      <c r="K337" s="0" t="n">
        <v>2901.83</v>
      </c>
    </row>
    <row r="338" customFormat="false" ht="15" hidden="false" customHeight="false" outlineLevel="0" collapsed="false">
      <c r="A338" s="0" t="n">
        <v>268</v>
      </c>
      <c r="B338" s="0" t="s">
        <v>145</v>
      </c>
      <c r="C338" s="0" t="s">
        <v>349</v>
      </c>
      <c r="D338" s="0" t="s">
        <v>227</v>
      </c>
      <c r="E338" s="0" t="s">
        <v>371</v>
      </c>
      <c r="F338" s="0" t="s">
        <v>265</v>
      </c>
      <c r="G338" s="0" t="s">
        <v>35</v>
      </c>
      <c r="H338" s="0" t="s">
        <v>352</v>
      </c>
      <c r="I338" s="0" t="n">
        <v>2</v>
      </c>
      <c r="J338" s="0" t="n">
        <v>329.48</v>
      </c>
      <c r="K338" s="0" t="n">
        <v>190.12</v>
      </c>
    </row>
    <row r="339" customFormat="false" ht="15" hidden="false" customHeight="false" outlineLevel="0" collapsed="false">
      <c r="A339" s="0" t="n">
        <v>312</v>
      </c>
      <c r="B339" s="0" t="s">
        <v>681</v>
      </c>
      <c r="C339" s="0" t="s">
        <v>380</v>
      </c>
      <c r="D339" s="0" t="s">
        <v>210</v>
      </c>
      <c r="E339" s="0" t="s">
        <v>217</v>
      </c>
      <c r="F339" s="0" t="s">
        <v>133</v>
      </c>
      <c r="G339" s="0" t="s">
        <v>35</v>
      </c>
      <c r="H339" s="0" t="s">
        <v>968</v>
      </c>
      <c r="I339" s="0" t="n">
        <v>2</v>
      </c>
      <c r="J339" s="0" t="n">
        <v>6871.13</v>
      </c>
      <c r="K339" s="0" t="n">
        <v>4228.57</v>
      </c>
    </row>
    <row r="340" customFormat="false" ht="15" hidden="false" customHeight="false" outlineLevel="0" collapsed="false">
      <c r="A340" s="0" t="n">
        <v>217</v>
      </c>
      <c r="B340" s="0" t="s">
        <v>940</v>
      </c>
      <c r="C340" s="0" t="s">
        <v>79</v>
      </c>
      <c r="D340" s="0" t="s">
        <v>172</v>
      </c>
      <c r="E340" s="0" t="s">
        <v>546</v>
      </c>
      <c r="F340" s="0" t="s">
        <v>163</v>
      </c>
      <c r="G340" s="0" t="s">
        <v>35</v>
      </c>
      <c r="H340" s="0" t="s">
        <v>755</v>
      </c>
      <c r="I340" s="0" t="n">
        <v>1</v>
      </c>
      <c r="J340" s="0" t="n">
        <v>274.81</v>
      </c>
      <c r="K340" s="0" t="n">
        <v>164.84</v>
      </c>
    </row>
    <row r="341" customFormat="false" ht="15" hidden="false" customHeight="false" outlineLevel="0" collapsed="false">
      <c r="A341" s="0" t="n">
        <v>379</v>
      </c>
      <c r="B341" s="0" t="s">
        <v>969</v>
      </c>
      <c r="C341" s="0" t="s">
        <v>892</v>
      </c>
      <c r="D341" s="0" t="s">
        <v>167</v>
      </c>
      <c r="E341" s="0" t="s">
        <v>33</v>
      </c>
      <c r="F341" s="0" t="s">
        <v>376</v>
      </c>
      <c r="G341" s="0" t="s">
        <v>54</v>
      </c>
      <c r="H341" s="0" t="s">
        <v>508</v>
      </c>
      <c r="I341" s="0" t="n">
        <v>1</v>
      </c>
      <c r="J341" s="0" t="n">
        <v>337.8</v>
      </c>
      <c r="K341" s="0" t="n">
        <v>240.92</v>
      </c>
    </row>
    <row r="342" customFormat="false" ht="15" hidden="false" customHeight="false" outlineLevel="0" collapsed="false">
      <c r="A342" s="0" t="n">
        <v>10</v>
      </c>
      <c r="B342" s="0" t="s">
        <v>970</v>
      </c>
      <c r="C342" s="0" t="s">
        <v>240</v>
      </c>
      <c r="D342" s="0" t="s">
        <v>285</v>
      </c>
      <c r="E342" s="0" t="s">
        <v>971</v>
      </c>
      <c r="F342" s="0" t="s">
        <v>441</v>
      </c>
      <c r="G342" s="0" t="s">
        <v>35</v>
      </c>
      <c r="H342" s="0" t="s">
        <v>941</v>
      </c>
      <c r="I342" s="0" t="n">
        <v>3</v>
      </c>
      <c r="J342" s="0" t="n">
        <v>217.18</v>
      </c>
      <c r="K342" s="0" t="n">
        <v>132.19</v>
      </c>
    </row>
    <row r="343" customFormat="false" ht="15" hidden="false" customHeight="false" outlineLevel="0" collapsed="false">
      <c r="A343" s="0" t="n">
        <v>366</v>
      </c>
      <c r="B343" s="0" t="s">
        <v>857</v>
      </c>
      <c r="C343" s="0" t="s">
        <v>485</v>
      </c>
      <c r="D343" s="0" t="s">
        <v>167</v>
      </c>
      <c r="E343" s="0" t="s">
        <v>422</v>
      </c>
      <c r="F343" s="0" t="s">
        <v>662</v>
      </c>
      <c r="G343" s="0" t="s">
        <v>35</v>
      </c>
      <c r="H343" s="0" t="s">
        <v>480</v>
      </c>
      <c r="I343" s="0" t="n">
        <v>2</v>
      </c>
      <c r="J343" s="0" t="n">
        <v>272.57</v>
      </c>
      <c r="K343" s="0" t="n">
        <v>191.34</v>
      </c>
    </row>
    <row r="344" customFormat="false" ht="15" hidden="false" customHeight="false" outlineLevel="0" collapsed="false">
      <c r="A344" s="0" t="n">
        <v>370</v>
      </c>
      <c r="B344" s="0" t="s">
        <v>945</v>
      </c>
      <c r="C344" s="0" t="s">
        <v>448</v>
      </c>
      <c r="D344" s="0" t="s">
        <v>972</v>
      </c>
      <c r="E344" s="0" t="s">
        <v>619</v>
      </c>
      <c r="F344" s="0" t="s">
        <v>282</v>
      </c>
      <c r="G344" s="0" t="s">
        <v>35</v>
      </c>
      <c r="H344" s="0" t="s">
        <v>770</v>
      </c>
      <c r="I344" s="0" t="n">
        <v>1</v>
      </c>
      <c r="J344" s="0" t="n">
        <v>78.19</v>
      </c>
      <c r="K344" s="0" t="n">
        <v>43.85</v>
      </c>
    </row>
    <row r="345" customFormat="false" ht="15" hidden="false" customHeight="false" outlineLevel="0" collapsed="false">
      <c r="A345" s="0" t="n">
        <v>286</v>
      </c>
      <c r="B345" s="0" t="s">
        <v>769</v>
      </c>
      <c r="C345" s="0" t="s">
        <v>99</v>
      </c>
      <c r="D345" s="0" t="s">
        <v>805</v>
      </c>
      <c r="E345" s="0" t="s">
        <v>902</v>
      </c>
      <c r="F345" s="0" t="s">
        <v>506</v>
      </c>
      <c r="G345" s="0" t="s">
        <v>35</v>
      </c>
      <c r="H345" s="0" t="s">
        <v>973</v>
      </c>
      <c r="I345" s="0" t="n">
        <v>1</v>
      </c>
      <c r="J345" s="0" t="n">
        <v>3487.21</v>
      </c>
      <c r="K345" s="0" t="n">
        <v>2324.84</v>
      </c>
    </row>
    <row r="346" customFormat="false" ht="15" hidden="false" customHeight="false" outlineLevel="0" collapsed="false">
      <c r="A346" s="0" t="n">
        <v>296</v>
      </c>
      <c r="B346" s="0" t="s">
        <v>974</v>
      </c>
      <c r="C346" s="0" t="s">
        <v>797</v>
      </c>
      <c r="D346" s="0" t="s">
        <v>865</v>
      </c>
      <c r="E346" s="0" t="s">
        <v>975</v>
      </c>
      <c r="F346" s="0" t="s">
        <v>333</v>
      </c>
      <c r="G346" s="0" t="s">
        <v>35</v>
      </c>
      <c r="H346" s="0" t="s">
        <v>954</v>
      </c>
      <c r="I346" s="0" t="n">
        <v>1</v>
      </c>
      <c r="J346" s="0" t="n">
        <v>97.89</v>
      </c>
      <c r="K346" s="0" t="n">
        <v>70.35</v>
      </c>
    </row>
    <row r="347" customFormat="false" ht="15" hidden="false" customHeight="false" outlineLevel="0" collapsed="false">
      <c r="A347" s="0" t="n">
        <v>105</v>
      </c>
      <c r="B347" s="0" t="s">
        <v>267</v>
      </c>
      <c r="C347" s="0" t="s">
        <v>268</v>
      </c>
      <c r="D347" s="0" t="s">
        <v>269</v>
      </c>
      <c r="E347" s="0" t="s">
        <v>65</v>
      </c>
      <c r="F347" s="0" t="s">
        <v>179</v>
      </c>
      <c r="G347" s="0" t="s">
        <v>35</v>
      </c>
      <c r="H347" s="0" t="s">
        <v>270</v>
      </c>
      <c r="I347" s="0" t="n">
        <v>1</v>
      </c>
      <c r="J347" s="0" t="n">
        <v>592.3</v>
      </c>
      <c r="K347" s="0" t="n">
        <v>408.35</v>
      </c>
    </row>
    <row r="348" customFormat="false" ht="15" hidden="false" customHeight="false" outlineLevel="0" collapsed="false">
      <c r="A348" s="0" t="n">
        <v>313</v>
      </c>
      <c r="B348" s="0" t="s">
        <v>976</v>
      </c>
      <c r="C348" s="0" t="s">
        <v>909</v>
      </c>
      <c r="D348" s="0" t="s">
        <v>195</v>
      </c>
      <c r="E348" s="0" t="s">
        <v>537</v>
      </c>
      <c r="F348" s="0" t="s">
        <v>977</v>
      </c>
      <c r="G348" s="0" t="s">
        <v>35</v>
      </c>
      <c r="H348" s="0" t="s">
        <v>978</v>
      </c>
      <c r="I348" s="0" t="n">
        <v>1</v>
      </c>
      <c r="J348" s="0" t="n">
        <v>2533.31</v>
      </c>
      <c r="K348" s="0" t="n">
        <v>1462.78</v>
      </c>
    </row>
    <row r="349" customFormat="false" ht="15" hidden="false" customHeight="false" outlineLevel="0" collapsed="false">
      <c r="A349" s="0" t="n">
        <v>378</v>
      </c>
      <c r="B349" s="0" t="s">
        <v>969</v>
      </c>
      <c r="C349" s="0" t="s">
        <v>146</v>
      </c>
      <c r="D349" s="0" t="s">
        <v>320</v>
      </c>
      <c r="E349" s="0" t="s">
        <v>572</v>
      </c>
      <c r="F349" s="0" t="s">
        <v>47</v>
      </c>
      <c r="G349" s="0" t="s">
        <v>35</v>
      </c>
      <c r="H349" s="0" t="s">
        <v>979</v>
      </c>
      <c r="I349" s="0" t="n">
        <v>2</v>
      </c>
      <c r="J349" s="0" t="n">
        <v>2782.08</v>
      </c>
      <c r="K349" s="0" t="n">
        <v>1941.11</v>
      </c>
    </row>
    <row r="350" customFormat="false" ht="15" hidden="false" customHeight="false" outlineLevel="0" collapsed="false">
      <c r="A350" s="0" t="n">
        <v>411</v>
      </c>
      <c r="B350" s="0" t="s">
        <v>980</v>
      </c>
      <c r="C350" s="0" t="s">
        <v>146</v>
      </c>
      <c r="D350" s="0" t="s">
        <v>951</v>
      </c>
      <c r="E350" s="0" t="s">
        <v>981</v>
      </c>
      <c r="F350" s="0" t="s">
        <v>376</v>
      </c>
      <c r="G350" s="0" t="s">
        <v>35</v>
      </c>
      <c r="H350" s="0" t="s">
        <v>716</v>
      </c>
      <c r="I350" s="0" t="n">
        <v>1</v>
      </c>
      <c r="J350" s="0" t="n">
        <v>3252.52</v>
      </c>
      <c r="K350" s="0" t="n">
        <v>2535.16</v>
      </c>
    </row>
    <row r="351" customFormat="false" ht="15" hidden="false" customHeight="false" outlineLevel="0" collapsed="false">
      <c r="A351" s="0" t="n">
        <v>92</v>
      </c>
      <c r="B351" s="0" t="s">
        <v>982</v>
      </c>
      <c r="C351" s="0" t="s">
        <v>130</v>
      </c>
      <c r="D351" s="0" t="s">
        <v>307</v>
      </c>
      <c r="E351" s="0" t="s">
        <v>630</v>
      </c>
      <c r="F351" s="0" t="s">
        <v>149</v>
      </c>
      <c r="G351" s="0" t="s">
        <v>54</v>
      </c>
      <c r="H351" s="0" t="s">
        <v>946</v>
      </c>
      <c r="I351" s="0" t="n">
        <v>1</v>
      </c>
      <c r="J351" s="0" t="n">
        <v>2891.42</v>
      </c>
      <c r="K351" s="0" t="n">
        <v>2030.56</v>
      </c>
    </row>
    <row r="352" customFormat="false" ht="15" hidden="false" customHeight="false" outlineLevel="0" collapsed="false">
      <c r="A352" s="0" t="n">
        <v>183</v>
      </c>
      <c r="B352" s="0" t="s">
        <v>889</v>
      </c>
      <c r="C352" s="0" t="s">
        <v>79</v>
      </c>
      <c r="D352" s="0" t="s">
        <v>246</v>
      </c>
      <c r="E352" s="0" t="s">
        <v>257</v>
      </c>
      <c r="F352" s="0" t="s">
        <v>277</v>
      </c>
      <c r="G352" s="0" t="s">
        <v>35</v>
      </c>
      <c r="H352" s="0" t="s">
        <v>647</v>
      </c>
      <c r="I352" s="0" t="n">
        <v>1</v>
      </c>
      <c r="J352" s="0" t="n">
        <v>4382.91</v>
      </c>
      <c r="K352" s="0" t="n">
        <v>2844.03</v>
      </c>
    </row>
    <row r="353" customFormat="false" ht="15" hidden="false" customHeight="false" outlineLevel="0" collapsed="false">
      <c r="A353" s="0" t="n">
        <v>316</v>
      </c>
      <c r="B353" s="0" t="s">
        <v>983</v>
      </c>
      <c r="C353" s="0" t="s">
        <v>465</v>
      </c>
      <c r="D353" s="0" t="s">
        <v>122</v>
      </c>
      <c r="E353" s="0" t="s">
        <v>844</v>
      </c>
      <c r="F353" s="0" t="s">
        <v>86</v>
      </c>
      <c r="G353" s="0" t="s">
        <v>35</v>
      </c>
      <c r="H353" s="0" t="s">
        <v>556</v>
      </c>
      <c r="I353" s="0" t="n">
        <v>2</v>
      </c>
      <c r="J353" s="0" t="n">
        <v>1729.03</v>
      </c>
      <c r="K353" s="0" t="n">
        <v>1183.3</v>
      </c>
    </row>
    <row r="354" customFormat="false" ht="15" hidden="false" customHeight="false" outlineLevel="0" collapsed="false">
      <c r="A354" s="0" t="n">
        <v>398</v>
      </c>
      <c r="B354" s="0" t="s">
        <v>348</v>
      </c>
      <c r="C354" s="0" t="s">
        <v>934</v>
      </c>
      <c r="D354" s="0" t="s">
        <v>839</v>
      </c>
      <c r="E354" s="0" t="s">
        <v>639</v>
      </c>
      <c r="F354" s="0" t="s">
        <v>342</v>
      </c>
      <c r="G354" s="0" t="s">
        <v>35</v>
      </c>
      <c r="H354" s="0" t="s">
        <v>984</v>
      </c>
      <c r="I354" s="0" t="n">
        <v>1</v>
      </c>
      <c r="J354" s="0" t="n">
        <v>210.01</v>
      </c>
      <c r="K354" s="0" t="n">
        <v>163.06</v>
      </c>
    </row>
    <row r="355" customFormat="false" ht="15" hidden="false" customHeight="false" outlineLevel="0" collapsed="false">
      <c r="A355" s="0" t="n">
        <v>173</v>
      </c>
      <c r="B355" s="0" t="s">
        <v>985</v>
      </c>
      <c r="C355" s="0" t="s">
        <v>369</v>
      </c>
      <c r="D355" s="0" t="s">
        <v>972</v>
      </c>
      <c r="E355" s="0" t="s">
        <v>162</v>
      </c>
      <c r="F355" s="0" t="s">
        <v>376</v>
      </c>
      <c r="G355" s="0" t="s">
        <v>35</v>
      </c>
      <c r="H355" s="0" t="s">
        <v>944</v>
      </c>
      <c r="I355" s="0" t="n">
        <v>1</v>
      </c>
      <c r="J355" s="0" t="n">
        <v>255.41</v>
      </c>
      <c r="K355" s="0" t="n">
        <v>171.81</v>
      </c>
    </row>
    <row r="356" customFormat="false" ht="15" hidden="false" customHeight="false" outlineLevel="0" collapsed="false">
      <c r="A356" s="0" t="n">
        <v>233</v>
      </c>
      <c r="B356" s="0" t="s">
        <v>986</v>
      </c>
      <c r="C356" s="0" t="s">
        <v>386</v>
      </c>
      <c r="D356" s="0" t="s">
        <v>839</v>
      </c>
      <c r="E356" s="0" t="s">
        <v>987</v>
      </c>
      <c r="F356" s="0" t="s">
        <v>47</v>
      </c>
      <c r="G356" s="0" t="s">
        <v>54</v>
      </c>
      <c r="H356" s="0" t="s">
        <v>93</v>
      </c>
      <c r="I356" s="0" t="n">
        <v>1</v>
      </c>
      <c r="J356" s="0" t="n">
        <v>199.87</v>
      </c>
      <c r="K356" s="0" t="n">
        <v>121.18</v>
      </c>
    </row>
    <row r="357" customFormat="false" ht="15" hidden="false" customHeight="false" outlineLevel="0" collapsed="false">
      <c r="A357" s="0" t="n">
        <v>411</v>
      </c>
      <c r="B357" s="0" t="s">
        <v>980</v>
      </c>
      <c r="C357" s="0" t="s">
        <v>146</v>
      </c>
      <c r="D357" s="0" t="s">
        <v>951</v>
      </c>
      <c r="E357" s="0" t="s">
        <v>981</v>
      </c>
      <c r="F357" s="0" t="s">
        <v>376</v>
      </c>
      <c r="G357" s="0" t="s">
        <v>35</v>
      </c>
      <c r="H357" s="0" t="s">
        <v>716</v>
      </c>
      <c r="I357" s="0" t="n">
        <v>1</v>
      </c>
      <c r="J357" s="0" t="n">
        <v>3252.52</v>
      </c>
      <c r="K357" s="0" t="n">
        <v>2535.16</v>
      </c>
    </row>
    <row r="358" customFormat="false" ht="15" hidden="false" customHeight="false" outlineLevel="0" collapsed="false">
      <c r="A358" s="0" t="n">
        <v>37</v>
      </c>
      <c r="B358" s="0" t="s">
        <v>988</v>
      </c>
      <c r="C358" s="0" t="s">
        <v>313</v>
      </c>
      <c r="D358" s="0" t="s">
        <v>830</v>
      </c>
      <c r="E358" s="0" t="s">
        <v>915</v>
      </c>
      <c r="F358" s="0" t="s">
        <v>192</v>
      </c>
      <c r="G358" s="0" t="s">
        <v>35</v>
      </c>
      <c r="H358" s="0" t="s">
        <v>840</v>
      </c>
      <c r="I358" s="0" t="n">
        <v>1</v>
      </c>
      <c r="J358" s="0" t="n">
        <v>1525.7</v>
      </c>
      <c r="K358" s="0" t="n">
        <v>902.83</v>
      </c>
      <c r="L358" s="0" t="s">
        <v>301</v>
      </c>
    </row>
    <row r="359" customFormat="false" ht="15" hidden="false" customHeight="false" outlineLevel="0" collapsed="false">
      <c r="A359" s="0" t="n">
        <v>157</v>
      </c>
      <c r="B359" s="0" t="s">
        <v>464</v>
      </c>
      <c r="C359" s="0" t="s">
        <v>798</v>
      </c>
      <c r="D359" s="0" t="s">
        <v>147</v>
      </c>
      <c r="E359" s="0" t="s">
        <v>989</v>
      </c>
      <c r="F359" s="0" t="s">
        <v>287</v>
      </c>
      <c r="G359" s="0" t="s">
        <v>35</v>
      </c>
      <c r="H359" s="0" t="s">
        <v>990</v>
      </c>
      <c r="I359" s="0" t="n">
        <v>1</v>
      </c>
      <c r="J359" s="0" t="n">
        <v>927.92</v>
      </c>
    </row>
    <row r="360" customFormat="false" ht="15" hidden="false" customHeight="false" outlineLevel="0" collapsed="false">
      <c r="A360" s="0" t="n">
        <v>3</v>
      </c>
      <c r="B360" s="0" t="s">
        <v>991</v>
      </c>
      <c r="C360" s="0" t="s">
        <v>250</v>
      </c>
      <c r="D360" s="0" t="s">
        <v>177</v>
      </c>
      <c r="E360" s="0" t="s">
        <v>425</v>
      </c>
      <c r="F360" s="0" t="s">
        <v>86</v>
      </c>
      <c r="G360" s="0" t="s">
        <v>35</v>
      </c>
      <c r="H360" s="0" t="s">
        <v>42</v>
      </c>
      <c r="I360" s="0" t="n">
        <v>1</v>
      </c>
      <c r="J360" s="0" t="n">
        <v>1644.97</v>
      </c>
      <c r="K360" s="0" t="n">
        <v>1274.77</v>
      </c>
    </row>
    <row r="361" customFormat="false" ht="15" hidden="false" customHeight="false" outlineLevel="0" collapsed="false">
      <c r="A361" s="0" t="n">
        <v>243</v>
      </c>
      <c r="B361" s="0" t="s">
        <v>992</v>
      </c>
      <c r="C361" s="0" t="s">
        <v>993</v>
      </c>
      <c r="D361" s="0" t="s">
        <v>147</v>
      </c>
      <c r="E361" s="0" t="s">
        <v>440</v>
      </c>
      <c r="F361" s="0" t="s">
        <v>212</v>
      </c>
      <c r="G361" s="0" t="s">
        <v>35</v>
      </c>
      <c r="H361" s="0" t="s">
        <v>180</v>
      </c>
      <c r="I361" s="0" t="n">
        <v>3</v>
      </c>
      <c r="J361" s="0" t="n">
        <v>2129.58</v>
      </c>
      <c r="K361" s="0" t="n">
        <v>1640.85</v>
      </c>
    </row>
    <row r="362" customFormat="false" ht="15" hidden="false" customHeight="false" outlineLevel="0" collapsed="false">
      <c r="A362" s="0" t="n">
        <v>309</v>
      </c>
      <c r="B362" s="0" t="s">
        <v>994</v>
      </c>
      <c r="C362" s="0" t="s">
        <v>146</v>
      </c>
      <c r="D362" s="0" t="s">
        <v>205</v>
      </c>
      <c r="E362" s="0" t="s">
        <v>636</v>
      </c>
      <c r="F362" s="0" t="s">
        <v>92</v>
      </c>
      <c r="G362" s="0" t="s">
        <v>35</v>
      </c>
      <c r="H362" s="0" t="s">
        <v>869</v>
      </c>
      <c r="I362" s="0" t="n">
        <v>1</v>
      </c>
      <c r="J362" s="0" t="n">
        <v>2362.3</v>
      </c>
      <c r="K362" s="0" t="n">
        <v>1309.28</v>
      </c>
    </row>
    <row r="363" customFormat="false" ht="15" hidden="false" customHeight="false" outlineLevel="0" collapsed="false">
      <c r="A363" s="0" t="n">
        <v>290</v>
      </c>
      <c r="B363" s="0" t="s">
        <v>995</v>
      </c>
      <c r="C363" s="0" t="s">
        <v>57</v>
      </c>
      <c r="D363" s="0" t="s">
        <v>876</v>
      </c>
      <c r="E363" s="0" t="s">
        <v>65</v>
      </c>
      <c r="F363" s="0" t="s">
        <v>519</v>
      </c>
      <c r="G363" s="0" t="s">
        <v>54</v>
      </c>
      <c r="H363" s="0" t="s">
        <v>430</v>
      </c>
      <c r="I363" s="0" t="n">
        <v>2</v>
      </c>
      <c r="J363" s="0" t="n">
        <v>741.69</v>
      </c>
      <c r="K363" s="0" t="n">
        <v>511.4</v>
      </c>
      <c r="L363" s="0" t="s">
        <v>301</v>
      </c>
    </row>
    <row r="364" customFormat="false" ht="15" hidden="false" customHeight="false" outlineLevel="0" collapsed="false">
      <c r="A364" s="0" t="n">
        <v>49</v>
      </c>
      <c r="B364" s="0" t="s">
        <v>996</v>
      </c>
      <c r="C364" s="0" t="s">
        <v>63</v>
      </c>
      <c r="D364" s="0" t="s">
        <v>195</v>
      </c>
      <c r="E364" s="0" t="s">
        <v>436</v>
      </c>
      <c r="F364" s="0" t="s">
        <v>114</v>
      </c>
      <c r="G364" s="0" t="s">
        <v>54</v>
      </c>
      <c r="H364" s="0" t="s">
        <v>693</v>
      </c>
      <c r="I364" s="0" t="n">
        <v>1</v>
      </c>
      <c r="J364" s="0" t="n">
        <v>3185.14</v>
      </c>
      <c r="K364" s="0" t="n">
        <v>1942.43</v>
      </c>
    </row>
    <row r="365" customFormat="false" ht="15" hidden="false" customHeight="false" outlineLevel="0" collapsed="false">
      <c r="A365" s="0" t="n">
        <v>142</v>
      </c>
      <c r="B365" s="0" t="s">
        <v>997</v>
      </c>
      <c r="C365" s="0" t="s">
        <v>85</v>
      </c>
      <c r="D365" s="0" t="s">
        <v>998</v>
      </c>
      <c r="E365" s="0" t="s">
        <v>187</v>
      </c>
      <c r="F365" s="0" t="s">
        <v>143</v>
      </c>
      <c r="G365" s="0" t="s">
        <v>35</v>
      </c>
      <c r="H365" s="0" t="s">
        <v>437</v>
      </c>
      <c r="I365" s="0" t="n">
        <v>1</v>
      </c>
      <c r="J365" s="0" t="n">
        <v>73</v>
      </c>
      <c r="K365" s="0" t="n">
        <v>41.28</v>
      </c>
    </row>
    <row r="366" customFormat="false" ht="15" hidden="false" customHeight="false" outlineLevel="0" collapsed="false">
      <c r="A366" s="0" t="n">
        <v>224</v>
      </c>
      <c r="B366" s="0" t="s">
        <v>999</v>
      </c>
      <c r="C366" s="0" t="s">
        <v>186</v>
      </c>
      <c r="D366" s="0" t="s">
        <v>307</v>
      </c>
      <c r="E366" s="0" t="s">
        <v>206</v>
      </c>
      <c r="F366" s="0" t="s">
        <v>506</v>
      </c>
      <c r="G366" s="0" t="s">
        <v>54</v>
      </c>
      <c r="H366" s="0" t="s">
        <v>946</v>
      </c>
      <c r="I366" s="0" t="n">
        <v>1</v>
      </c>
      <c r="J366" s="0" t="n">
        <v>3146.95</v>
      </c>
      <c r="K366" s="0" t="n">
        <v>1788.37</v>
      </c>
    </row>
    <row r="367" customFormat="false" ht="15" hidden="false" customHeight="false" outlineLevel="0" collapsed="false">
      <c r="A367" s="0" t="n">
        <v>353</v>
      </c>
      <c r="B367" s="0" t="s">
        <v>895</v>
      </c>
      <c r="C367" s="0" t="s">
        <v>152</v>
      </c>
      <c r="D367" s="0" t="s">
        <v>761</v>
      </c>
      <c r="E367" s="0" t="s">
        <v>636</v>
      </c>
      <c r="F367" s="0" t="s">
        <v>192</v>
      </c>
      <c r="G367" s="0" t="s">
        <v>54</v>
      </c>
      <c r="H367" s="0" t="s">
        <v>525</v>
      </c>
      <c r="I367" s="0" t="n">
        <v>1</v>
      </c>
      <c r="J367" s="0" t="n">
        <v>3602.01</v>
      </c>
      <c r="K367" s="0" t="n">
        <v>2580.7</v>
      </c>
    </row>
    <row r="368" customFormat="false" ht="15" hidden="false" customHeight="false" outlineLevel="0" collapsed="false">
      <c r="A368" s="0" t="n">
        <v>184</v>
      </c>
      <c r="B368" s="0" t="s">
        <v>1000</v>
      </c>
      <c r="C368" s="0" t="s">
        <v>743</v>
      </c>
      <c r="D368" s="0" t="s">
        <v>310</v>
      </c>
      <c r="E368" s="0" t="s">
        <v>1001</v>
      </c>
      <c r="F368" s="0" t="s">
        <v>82</v>
      </c>
      <c r="G368" s="0" t="s">
        <v>54</v>
      </c>
      <c r="H368" s="0" t="s">
        <v>115</v>
      </c>
      <c r="I368" s="0" t="n">
        <v>1</v>
      </c>
      <c r="J368" s="0" t="n">
        <v>574.1</v>
      </c>
      <c r="K368" s="0" t="n">
        <v>364.02</v>
      </c>
    </row>
    <row r="369" customFormat="false" ht="15" hidden="false" customHeight="false" outlineLevel="0" collapsed="false">
      <c r="A369" s="0" t="n">
        <v>332</v>
      </c>
      <c r="B369" s="0" t="s">
        <v>843</v>
      </c>
      <c r="C369" s="0" t="s">
        <v>549</v>
      </c>
      <c r="D369" s="0" t="s">
        <v>912</v>
      </c>
      <c r="E369" s="0" t="s">
        <v>1002</v>
      </c>
      <c r="F369" s="0" t="s">
        <v>299</v>
      </c>
      <c r="G369" s="0" t="s">
        <v>35</v>
      </c>
      <c r="H369" s="0" t="s">
        <v>1003</v>
      </c>
      <c r="I369" s="0" t="n">
        <v>1</v>
      </c>
      <c r="J369" s="0" t="n">
        <v>4059.36</v>
      </c>
      <c r="K369" s="0" t="n">
        <v>3082.58</v>
      </c>
    </row>
    <row r="370" customFormat="false" ht="15" hidden="false" customHeight="false" outlineLevel="0" collapsed="false">
      <c r="A370" s="0" t="n">
        <v>386</v>
      </c>
      <c r="B370" s="0" t="s">
        <v>554</v>
      </c>
      <c r="C370" s="0" t="s">
        <v>284</v>
      </c>
      <c r="D370" s="0" t="s">
        <v>455</v>
      </c>
      <c r="E370" s="0" t="s">
        <v>1004</v>
      </c>
      <c r="F370" s="0" t="s">
        <v>53</v>
      </c>
      <c r="G370" s="0" t="s">
        <v>35</v>
      </c>
      <c r="H370" s="0" t="s">
        <v>967</v>
      </c>
      <c r="I370" s="0" t="n">
        <v>1</v>
      </c>
      <c r="J370" s="0" t="n">
        <v>161.6</v>
      </c>
      <c r="K370" s="0" t="n">
        <v>91.35</v>
      </c>
    </row>
    <row r="371" customFormat="false" ht="15" hidden="false" customHeight="false" outlineLevel="0" collapsed="false">
      <c r="A371" s="0" t="n">
        <v>161</v>
      </c>
      <c r="B371" s="0" t="s">
        <v>1005</v>
      </c>
      <c r="C371" s="0" t="s">
        <v>204</v>
      </c>
      <c r="D371" s="0" t="s">
        <v>998</v>
      </c>
      <c r="E371" s="0" t="s">
        <v>987</v>
      </c>
      <c r="F371" s="0" t="s">
        <v>201</v>
      </c>
      <c r="G371" s="0" t="s">
        <v>35</v>
      </c>
      <c r="H371" s="0" t="s">
        <v>1006</v>
      </c>
      <c r="I371" s="0" t="n">
        <v>2</v>
      </c>
      <c r="J371" s="0" t="n">
        <v>79.14</v>
      </c>
      <c r="K371" s="0" t="n">
        <v>46.22</v>
      </c>
    </row>
    <row r="372" customFormat="false" ht="15" hidden="false" customHeight="false" outlineLevel="0" collapsed="false">
      <c r="A372" s="0" t="n">
        <v>337</v>
      </c>
      <c r="B372" s="0" t="s">
        <v>1007</v>
      </c>
      <c r="C372" s="0" t="s">
        <v>369</v>
      </c>
      <c r="D372" s="0" t="s">
        <v>205</v>
      </c>
      <c r="E372" s="0" t="s">
        <v>591</v>
      </c>
      <c r="F372" s="0" t="s">
        <v>60</v>
      </c>
      <c r="G372" s="0" t="s">
        <v>35</v>
      </c>
      <c r="H372" s="0" t="s">
        <v>1008</v>
      </c>
      <c r="I372" s="0" t="n">
        <v>2</v>
      </c>
      <c r="J372" s="0" t="n">
        <v>1385.75</v>
      </c>
      <c r="K372" s="0" t="n">
        <v>836.97</v>
      </c>
    </row>
    <row r="373" customFormat="false" ht="15" hidden="false" customHeight="false" outlineLevel="0" collapsed="false">
      <c r="A373" s="0" t="n">
        <v>220</v>
      </c>
      <c r="B373" s="0" t="s">
        <v>1009</v>
      </c>
      <c r="C373" s="0" t="s">
        <v>691</v>
      </c>
      <c r="D373" s="0" t="s">
        <v>157</v>
      </c>
      <c r="E373" s="0" t="s">
        <v>138</v>
      </c>
      <c r="F373" s="0" t="s">
        <v>333</v>
      </c>
      <c r="G373" s="0" t="s">
        <v>35</v>
      </c>
      <c r="H373" s="0" t="s">
        <v>1010</v>
      </c>
      <c r="I373" s="0" t="n">
        <v>1</v>
      </c>
      <c r="J373" s="0" t="n">
        <v>1436.86</v>
      </c>
      <c r="K373" s="0" t="n">
        <v>902.2</v>
      </c>
    </row>
    <row r="374" customFormat="false" ht="15" hidden="false" customHeight="false" outlineLevel="0" collapsed="false">
      <c r="A374" s="0" t="n">
        <v>100</v>
      </c>
      <c r="B374" s="0" t="s">
        <v>1011</v>
      </c>
      <c r="C374" s="0" t="s">
        <v>421</v>
      </c>
      <c r="D374" s="0" t="s">
        <v>839</v>
      </c>
      <c r="E374" s="0" t="s">
        <v>834</v>
      </c>
      <c r="F374" s="0" t="s">
        <v>662</v>
      </c>
      <c r="G374" s="0" t="s">
        <v>54</v>
      </c>
      <c r="H374" s="0" t="s">
        <v>1012</v>
      </c>
      <c r="I374" s="0" t="n">
        <v>1</v>
      </c>
      <c r="J374" s="0" t="n">
        <v>191.3</v>
      </c>
    </row>
    <row r="375" customFormat="false" ht="15" hidden="false" customHeight="false" outlineLevel="0" collapsed="false">
      <c r="A375" s="0" t="n">
        <v>236</v>
      </c>
      <c r="B375" s="0" t="s">
        <v>1013</v>
      </c>
      <c r="C375" s="0" t="s">
        <v>63</v>
      </c>
      <c r="D375" s="0" t="s">
        <v>241</v>
      </c>
      <c r="E375" s="0" t="s">
        <v>1002</v>
      </c>
      <c r="F375" s="0" t="s">
        <v>163</v>
      </c>
      <c r="G375" s="0" t="s">
        <v>35</v>
      </c>
      <c r="H375" s="0" t="s">
        <v>824</v>
      </c>
      <c r="I375" s="0" t="n">
        <v>1</v>
      </c>
      <c r="J375" s="0" t="n">
        <v>5848.08</v>
      </c>
      <c r="K375" s="0" t="n">
        <v>3766.76</v>
      </c>
    </row>
    <row r="376" customFormat="false" ht="15" hidden="false" customHeight="false" outlineLevel="0" collapsed="false">
      <c r="A376" s="0" t="n">
        <v>118</v>
      </c>
      <c r="B376" s="0" t="s">
        <v>1014</v>
      </c>
      <c r="C376" s="0" t="s">
        <v>296</v>
      </c>
      <c r="D376" s="0" t="s">
        <v>392</v>
      </c>
      <c r="E376" s="0" t="s">
        <v>257</v>
      </c>
      <c r="F376" s="0" t="s">
        <v>119</v>
      </c>
      <c r="G376" s="0" t="s">
        <v>35</v>
      </c>
      <c r="H376" s="0" t="s">
        <v>1003</v>
      </c>
      <c r="I376" s="0" t="n">
        <v>1</v>
      </c>
      <c r="J376" s="0" t="n">
        <v>4058.28</v>
      </c>
      <c r="K376" s="0" t="n">
        <v>2566.84</v>
      </c>
    </row>
    <row r="377" customFormat="false" ht="15" hidden="false" customHeight="false" outlineLevel="0" collapsed="false">
      <c r="A377" s="0" t="n">
        <v>342</v>
      </c>
      <c r="B377" s="0" t="s">
        <v>709</v>
      </c>
      <c r="C377" s="0" t="s">
        <v>117</v>
      </c>
      <c r="D377" s="0" t="s">
        <v>515</v>
      </c>
      <c r="E377" s="0" t="s">
        <v>332</v>
      </c>
      <c r="F377" s="0" t="s">
        <v>441</v>
      </c>
      <c r="G377" s="0" t="s">
        <v>35</v>
      </c>
      <c r="H377" s="0" t="s">
        <v>1015</v>
      </c>
      <c r="I377" s="0" t="n">
        <v>1</v>
      </c>
      <c r="J377" s="0" t="n">
        <v>180.92</v>
      </c>
      <c r="K377" s="0" t="n">
        <v>117.65</v>
      </c>
    </row>
    <row r="378" customFormat="false" ht="15" hidden="false" customHeight="false" outlineLevel="0" collapsed="false">
      <c r="A378" s="0" t="n">
        <v>2</v>
      </c>
      <c r="B378" s="0" t="s">
        <v>1016</v>
      </c>
      <c r="C378" s="0" t="s">
        <v>858</v>
      </c>
      <c r="D378" s="0" t="s">
        <v>667</v>
      </c>
      <c r="E378" s="0" t="s">
        <v>1017</v>
      </c>
      <c r="F378" s="0" t="s">
        <v>362</v>
      </c>
      <c r="G378" s="0" t="s">
        <v>35</v>
      </c>
      <c r="H378" s="0" t="s">
        <v>1018</v>
      </c>
      <c r="I378" s="0" t="n">
        <v>1</v>
      </c>
      <c r="J378" s="0" t="n">
        <v>4272.76</v>
      </c>
      <c r="K378" s="0" t="n">
        <v>3155.96</v>
      </c>
    </row>
    <row r="379" customFormat="false" ht="15" hidden="false" customHeight="false" outlineLevel="0" collapsed="false">
      <c r="A379" s="0" t="n">
        <v>114</v>
      </c>
      <c r="B379" s="0" t="s">
        <v>68</v>
      </c>
      <c r="C379" s="0" t="s">
        <v>1019</v>
      </c>
      <c r="D379" s="0" t="s">
        <v>137</v>
      </c>
      <c r="E379" s="0" t="s">
        <v>1020</v>
      </c>
      <c r="F379" s="0" t="s">
        <v>223</v>
      </c>
      <c r="G379" s="0" t="s">
        <v>35</v>
      </c>
      <c r="H379" s="0" t="s">
        <v>483</v>
      </c>
      <c r="I379" s="0" t="n">
        <v>1</v>
      </c>
      <c r="J379" s="0" t="n">
        <v>1781.26</v>
      </c>
      <c r="K379" s="0" t="n">
        <v>1332.14</v>
      </c>
    </row>
    <row r="380" customFormat="false" ht="15" hidden="false" customHeight="false" outlineLevel="0" collapsed="false">
      <c r="A380" s="0" t="n">
        <v>401</v>
      </c>
      <c r="B380" s="0" t="s">
        <v>1021</v>
      </c>
      <c r="C380" s="0" t="s">
        <v>166</v>
      </c>
      <c r="D380" s="0" t="s">
        <v>1022</v>
      </c>
      <c r="E380" s="0" t="s">
        <v>332</v>
      </c>
      <c r="F380" s="0" t="s">
        <v>362</v>
      </c>
      <c r="G380" s="0" t="s">
        <v>54</v>
      </c>
      <c r="H380" s="0" t="s">
        <v>120</v>
      </c>
      <c r="I380" s="0" t="n">
        <v>2</v>
      </c>
      <c r="J380" s="0" t="n">
        <v>235.76</v>
      </c>
      <c r="K380" s="0" t="n">
        <v>183.83</v>
      </c>
    </row>
    <row r="381" customFormat="false" ht="15" hidden="false" customHeight="false" outlineLevel="0" collapsed="false">
      <c r="A381" s="0" t="n">
        <v>175</v>
      </c>
      <c r="B381" s="0" t="s">
        <v>950</v>
      </c>
      <c r="C381" s="0" t="s">
        <v>718</v>
      </c>
      <c r="D381" s="0" t="s">
        <v>106</v>
      </c>
      <c r="E381" s="0" t="s">
        <v>107</v>
      </c>
      <c r="F381" s="0" t="s">
        <v>662</v>
      </c>
      <c r="G381" s="0" t="s">
        <v>35</v>
      </c>
      <c r="H381" s="0" t="s">
        <v>1023</v>
      </c>
      <c r="I381" s="0" t="n">
        <v>1</v>
      </c>
      <c r="J381" s="0" t="n">
        <v>595.74</v>
      </c>
      <c r="K381" s="0" t="n">
        <v>431.05</v>
      </c>
    </row>
    <row r="382" customFormat="false" ht="15" hidden="false" customHeight="false" outlineLevel="0" collapsed="false">
      <c r="A382" s="0" t="n">
        <v>254</v>
      </c>
      <c r="B382" s="0" t="s">
        <v>1024</v>
      </c>
      <c r="C382" s="0" t="s">
        <v>399</v>
      </c>
      <c r="D382" s="0" t="s">
        <v>51</v>
      </c>
      <c r="E382" s="0" t="s">
        <v>1025</v>
      </c>
      <c r="F382" s="0" t="s">
        <v>282</v>
      </c>
      <c r="G382" s="0" t="s">
        <v>54</v>
      </c>
      <c r="H382" s="0" t="s">
        <v>1026</v>
      </c>
      <c r="I382" s="0" t="n">
        <v>2</v>
      </c>
      <c r="J382" s="0" t="n">
        <v>565.55</v>
      </c>
      <c r="K382" s="0" t="n">
        <v>357.78</v>
      </c>
    </row>
    <row r="383" customFormat="false" ht="15" hidden="false" customHeight="false" outlineLevel="0" collapsed="false">
      <c r="A383" s="0" t="n">
        <v>393</v>
      </c>
      <c r="B383" s="0" t="s">
        <v>1027</v>
      </c>
      <c r="C383" s="0" t="s">
        <v>782</v>
      </c>
      <c r="D383" s="0" t="s">
        <v>865</v>
      </c>
      <c r="E383" s="0" t="s">
        <v>168</v>
      </c>
      <c r="F383" s="0" t="s">
        <v>506</v>
      </c>
      <c r="G383" s="0" t="s">
        <v>35</v>
      </c>
      <c r="H383" s="0" t="s">
        <v>1012</v>
      </c>
      <c r="I383" s="0" t="n">
        <v>1</v>
      </c>
      <c r="J383" s="0" t="n">
        <v>316</v>
      </c>
      <c r="K383" s="0" t="n">
        <v>197.63</v>
      </c>
    </row>
    <row r="384" customFormat="false" ht="15" hidden="false" customHeight="false" outlineLevel="0" collapsed="false">
      <c r="A384" s="0" t="n">
        <v>185</v>
      </c>
      <c r="B384" s="0" t="s">
        <v>1028</v>
      </c>
      <c r="C384" s="0" t="s">
        <v>909</v>
      </c>
      <c r="D384" s="0" t="s">
        <v>812</v>
      </c>
      <c r="E384" s="0" t="s">
        <v>113</v>
      </c>
      <c r="F384" s="0" t="s">
        <v>450</v>
      </c>
      <c r="G384" s="0" t="s">
        <v>54</v>
      </c>
      <c r="H384" s="0" t="s">
        <v>1029</v>
      </c>
      <c r="I384" s="0" t="n">
        <v>1</v>
      </c>
      <c r="J384" s="0" t="n">
        <v>2559</v>
      </c>
      <c r="K384" s="0" t="n">
        <v>1716.5</v>
      </c>
    </row>
    <row r="385" customFormat="false" ht="15" hidden="false" customHeight="false" outlineLevel="0" collapsed="false">
      <c r="A385" s="0" t="n">
        <v>166</v>
      </c>
      <c r="B385" s="0" t="s">
        <v>1030</v>
      </c>
      <c r="C385" s="0" t="s">
        <v>44</v>
      </c>
      <c r="D385" s="0" t="s">
        <v>370</v>
      </c>
      <c r="E385" s="0" t="s">
        <v>546</v>
      </c>
      <c r="F385" s="0" t="s">
        <v>441</v>
      </c>
      <c r="G385" s="0" t="s">
        <v>35</v>
      </c>
      <c r="H385" s="0" t="s">
        <v>1031</v>
      </c>
      <c r="I385" s="0" t="n">
        <v>2</v>
      </c>
      <c r="J385" s="0" t="n">
        <v>103.07</v>
      </c>
      <c r="K385" s="0" t="n">
        <v>70.23</v>
      </c>
    </row>
    <row r="386" customFormat="false" ht="15" hidden="false" customHeight="false" outlineLevel="0" collapsed="false">
      <c r="A386" s="0" t="n">
        <v>373</v>
      </c>
      <c r="B386" s="0" t="s">
        <v>1032</v>
      </c>
      <c r="C386" s="0" t="s">
        <v>782</v>
      </c>
      <c r="D386" s="0" t="s">
        <v>462</v>
      </c>
      <c r="E386" s="0" t="s">
        <v>257</v>
      </c>
      <c r="F386" s="0" t="s">
        <v>342</v>
      </c>
      <c r="G386" s="0" t="s">
        <v>35</v>
      </c>
      <c r="H386" s="0" t="s">
        <v>626</v>
      </c>
      <c r="I386" s="0" t="n">
        <v>1</v>
      </c>
      <c r="J386" s="0" t="n">
        <v>4137.05</v>
      </c>
    </row>
    <row r="387" customFormat="false" ht="15" hidden="false" customHeight="false" outlineLevel="0" collapsed="false">
      <c r="A387" s="0" t="n">
        <v>275</v>
      </c>
      <c r="B387" s="0" t="s">
        <v>566</v>
      </c>
      <c r="C387" s="0" t="s">
        <v>885</v>
      </c>
      <c r="D387" s="0" t="s">
        <v>657</v>
      </c>
      <c r="E387" s="0" t="s">
        <v>496</v>
      </c>
      <c r="F387" s="0" t="s">
        <v>92</v>
      </c>
      <c r="G387" s="0" t="s">
        <v>35</v>
      </c>
      <c r="H387" s="0" t="s">
        <v>928</v>
      </c>
      <c r="I387" s="0" t="n">
        <v>1</v>
      </c>
      <c r="J387" s="0" t="n">
        <v>4920.28</v>
      </c>
    </row>
    <row r="388" customFormat="false" ht="15" hidden="false" customHeight="false" outlineLevel="0" collapsed="false">
      <c r="A388" s="0" t="n">
        <v>193</v>
      </c>
      <c r="B388" s="0" t="s">
        <v>1033</v>
      </c>
      <c r="C388" s="0" t="s">
        <v>1034</v>
      </c>
      <c r="D388" s="0" t="s">
        <v>383</v>
      </c>
      <c r="E388" s="0" t="s">
        <v>686</v>
      </c>
      <c r="F388" s="0" t="s">
        <v>299</v>
      </c>
      <c r="G388" s="0" t="s">
        <v>54</v>
      </c>
      <c r="H388" s="0" t="s">
        <v>394</v>
      </c>
      <c r="I388" s="0" t="n">
        <v>1</v>
      </c>
      <c r="J388" s="0" t="n">
        <v>3653.88</v>
      </c>
      <c r="K388" s="0" t="n">
        <v>2832.57</v>
      </c>
    </row>
    <row r="389" customFormat="false" ht="15" hidden="false" customHeight="false" outlineLevel="0" collapsed="false">
      <c r="A389" s="0" t="n">
        <v>1</v>
      </c>
      <c r="B389" s="0" t="s">
        <v>1035</v>
      </c>
      <c r="C389" s="0" t="s">
        <v>644</v>
      </c>
      <c r="D389" s="0" t="s">
        <v>32</v>
      </c>
      <c r="E389" s="0" t="s">
        <v>1036</v>
      </c>
      <c r="F389" s="0" t="s">
        <v>163</v>
      </c>
      <c r="G389" s="0" t="s">
        <v>35</v>
      </c>
      <c r="H389" s="0" t="s">
        <v>791</v>
      </c>
      <c r="I389" s="0" t="n">
        <v>1</v>
      </c>
      <c r="J389" s="0" t="n">
        <v>225.45</v>
      </c>
      <c r="K389" s="0" t="n">
        <v>144.54</v>
      </c>
    </row>
    <row r="390" customFormat="false" ht="15" hidden="false" customHeight="false" outlineLevel="0" collapsed="false">
      <c r="A390" s="0" t="n">
        <v>55</v>
      </c>
      <c r="B390" s="0" t="s">
        <v>1037</v>
      </c>
      <c r="C390" s="0" t="s">
        <v>811</v>
      </c>
      <c r="D390" s="0" t="s">
        <v>659</v>
      </c>
      <c r="E390" s="0" t="s">
        <v>902</v>
      </c>
      <c r="F390" s="0" t="s">
        <v>223</v>
      </c>
      <c r="G390" s="0" t="s">
        <v>35</v>
      </c>
      <c r="H390" s="0" t="s">
        <v>1038</v>
      </c>
      <c r="I390" s="0" t="n">
        <v>1</v>
      </c>
      <c r="J390" s="0" t="n">
        <v>2566.79</v>
      </c>
      <c r="K390" s="0" t="n">
        <v>1676.34</v>
      </c>
    </row>
    <row r="391" customFormat="false" ht="15" hidden="false" customHeight="false" outlineLevel="0" collapsed="false">
      <c r="A391" s="0" t="n">
        <v>376</v>
      </c>
      <c r="B391" s="0" t="s">
        <v>1039</v>
      </c>
      <c r="C391" s="0" t="s">
        <v>79</v>
      </c>
      <c r="D391" s="0" t="s">
        <v>638</v>
      </c>
      <c r="E391" s="0" t="s">
        <v>1040</v>
      </c>
      <c r="F391" s="0" t="s">
        <v>265</v>
      </c>
      <c r="G391" s="0" t="s">
        <v>35</v>
      </c>
      <c r="H391" s="0" t="s">
        <v>87</v>
      </c>
      <c r="I391" s="0" t="n">
        <v>1</v>
      </c>
      <c r="J391" s="0" t="n">
        <v>307.38</v>
      </c>
      <c r="K391" s="0" t="n">
        <v>220.84</v>
      </c>
    </row>
    <row r="392" customFormat="false" ht="15" hidden="false" customHeight="false" outlineLevel="0" collapsed="false">
      <c r="A392" s="0" t="n">
        <v>29</v>
      </c>
      <c r="B392" s="0" t="s">
        <v>1041</v>
      </c>
      <c r="C392" s="0" t="s">
        <v>89</v>
      </c>
      <c r="D392" s="0" t="s">
        <v>505</v>
      </c>
      <c r="E392" s="0" t="s">
        <v>138</v>
      </c>
      <c r="F392" s="0" t="s">
        <v>238</v>
      </c>
      <c r="G392" s="0" t="s">
        <v>35</v>
      </c>
      <c r="H392" s="0" t="s">
        <v>1042</v>
      </c>
      <c r="I392" s="0" t="n">
        <v>2</v>
      </c>
      <c r="J392" s="0" t="n">
        <v>3831.79</v>
      </c>
      <c r="K392" s="0" t="n">
        <v>2229.4</v>
      </c>
    </row>
    <row r="393" customFormat="false" ht="15" hidden="false" customHeight="false" outlineLevel="0" collapsed="false">
      <c r="A393" s="0" t="n">
        <v>207</v>
      </c>
      <c r="B393" s="0" t="s">
        <v>1043</v>
      </c>
      <c r="C393" s="0" t="s">
        <v>1019</v>
      </c>
      <c r="D393" s="0" t="s">
        <v>153</v>
      </c>
      <c r="E393" s="0" t="s">
        <v>774</v>
      </c>
      <c r="F393" s="0" t="s">
        <v>287</v>
      </c>
      <c r="G393" s="0" t="s">
        <v>35</v>
      </c>
      <c r="H393" s="0" t="s">
        <v>1044</v>
      </c>
      <c r="I393" s="0" t="n">
        <v>1</v>
      </c>
      <c r="J393" s="0" t="n">
        <v>145.46</v>
      </c>
      <c r="K393" s="0" t="n">
        <v>95.64</v>
      </c>
    </row>
    <row r="394" customFormat="false" ht="15" hidden="false" customHeight="false" outlineLevel="0" collapsed="false">
      <c r="A394" s="0" t="n">
        <v>384</v>
      </c>
      <c r="B394" s="0" t="s">
        <v>1045</v>
      </c>
      <c r="C394" s="0" t="s">
        <v>1046</v>
      </c>
      <c r="D394" s="0" t="s">
        <v>1047</v>
      </c>
      <c r="E394" s="0" t="s">
        <v>971</v>
      </c>
      <c r="F394" s="0" t="s">
        <v>34</v>
      </c>
      <c r="G394" s="0" t="s">
        <v>54</v>
      </c>
      <c r="H394" s="0" t="s">
        <v>1048</v>
      </c>
      <c r="I394" s="0" t="n">
        <v>1</v>
      </c>
      <c r="J394" s="0" t="n">
        <v>729.79</v>
      </c>
    </row>
    <row r="395" customFormat="false" ht="15" hidden="false" customHeight="false" outlineLevel="0" collapsed="false">
      <c r="A395" s="0" t="n">
        <v>50</v>
      </c>
      <c r="B395" s="0" t="s">
        <v>996</v>
      </c>
      <c r="C395" s="0" t="s">
        <v>892</v>
      </c>
      <c r="D395" s="0" t="s">
        <v>1049</v>
      </c>
      <c r="E395" s="0" t="s">
        <v>541</v>
      </c>
      <c r="F395" s="0" t="s">
        <v>506</v>
      </c>
      <c r="G395" s="0" t="s">
        <v>35</v>
      </c>
      <c r="H395" s="0" t="s">
        <v>483</v>
      </c>
      <c r="I395" s="0" t="n">
        <v>1</v>
      </c>
      <c r="J395" s="0" t="n">
        <v>1149.75</v>
      </c>
      <c r="K395" s="0" t="n">
        <v>853.86</v>
      </c>
    </row>
    <row r="396" customFormat="false" ht="15" hidden="false" customHeight="false" outlineLevel="0" collapsed="false">
      <c r="A396" s="0" t="n">
        <v>351</v>
      </c>
      <c r="B396" s="0" t="s">
        <v>1050</v>
      </c>
      <c r="C396" s="0" t="s">
        <v>644</v>
      </c>
      <c r="D396" s="0" t="s">
        <v>536</v>
      </c>
      <c r="E396" s="0" t="s">
        <v>1051</v>
      </c>
      <c r="F396" s="0" t="s">
        <v>243</v>
      </c>
      <c r="G396" s="0" t="s">
        <v>35</v>
      </c>
      <c r="H396" s="0" t="s">
        <v>1052</v>
      </c>
      <c r="I396" s="0" t="n">
        <v>1</v>
      </c>
      <c r="J396" s="0" t="n">
        <v>3872.8</v>
      </c>
    </row>
    <row r="397" customFormat="false" ht="15" hidden="false" customHeight="false" outlineLevel="0" collapsed="false">
      <c r="A397" s="0" t="n">
        <v>21</v>
      </c>
      <c r="B397" s="0" t="s">
        <v>1053</v>
      </c>
      <c r="C397" s="0" t="s">
        <v>713</v>
      </c>
      <c r="D397" s="0" t="s">
        <v>830</v>
      </c>
      <c r="E397" s="0" t="s">
        <v>989</v>
      </c>
      <c r="F397" s="0" t="s">
        <v>82</v>
      </c>
      <c r="G397" s="0" t="s">
        <v>35</v>
      </c>
      <c r="H397" s="0" t="s">
        <v>1054</v>
      </c>
      <c r="I397" s="0" t="n">
        <v>1</v>
      </c>
      <c r="J397" s="0" t="n">
        <v>1688.24</v>
      </c>
      <c r="K397" s="0" t="n">
        <v>1191.83</v>
      </c>
    </row>
    <row r="398" customFormat="false" ht="15" hidden="false" customHeight="false" outlineLevel="0" collapsed="false">
      <c r="A398" s="0" t="n">
        <v>294</v>
      </c>
      <c r="B398" s="0" t="s">
        <v>1055</v>
      </c>
      <c r="C398" s="0" t="s">
        <v>186</v>
      </c>
      <c r="D398" s="0" t="s">
        <v>251</v>
      </c>
      <c r="E398" s="0" t="s">
        <v>760</v>
      </c>
      <c r="F398" s="0" t="s">
        <v>77</v>
      </c>
      <c r="G398" s="0" t="s">
        <v>35</v>
      </c>
      <c r="H398" s="0" t="s">
        <v>755</v>
      </c>
      <c r="I398" s="0" t="n">
        <v>-2</v>
      </c>
      <c r="J398" s="0" t="n">
        <v>98.86</v>
      </c>
      <c r="K398" s="0" t="n">
        <v>58.82</v>
      </c>
      <c r="L398" s="0" t="s">
        <v>301</v>
      </c>
    </row>
    <row r="399" customFormat="false" ht="15" hidden="false" customHeight="false" outlineLevel="0" collapsed="false">
      <c r="A399" s="0" t="n">
        <v>177</v>
      </c>
      <c r="B399" s="0" t="s">
        <v>1056</v>
      </c>
      <c r="C399" s="0" t="s">
        <v>1034</v>
      </c>
      <c r="D399" s="0" t="s">
        <v>830</v>
      </c>
      <c r="E399" s="0" t="s">
        <v>737</v>
      </c>
      <c r="F399" s="0" t="s">
        <v>53</v>
      </c>
      <c r="G399" s="0" t="s">
        <v>54</v>
      </c>
      <c r="H399" s="0" t="s">
        <v>1057</v>
      </c>
      <c r="I399" s="0" t="n">
        <v>1</v>
      </c>
      <c r="J399" s="0" t="n">
        <v>1392.95</v>
      </c>
      <c r="K399" s="0" t="n">
        <v>826.51</v>
      </c>
    </row>
    <row r="400" customFormat="false" ht="15" hidden="false" customHeight="false" outlineLevel="0" collapsed="false">
      <c r="A400" s="0" t="n">
        <v>336</v>
      </c>
      <c r="B400" s="0" t="s">
        <v>1058</v>
      </c>
      <c r="C400" s="0" t="s">
        <v>152</v>
      </c>
      <c r="D400" s="0" t="s">
        <v>370</v>
      </c>
      <c r="E400" s="0" t="s">
        <v>1059</v>
      </c>
      <c r="F400" s="0" t="s">
        <v>163</v>
      </c>
      <c r="G400" s="0" t="s">
        <v>54</v>
      </c>
      <c r="H400" s="0" t="s">
        <v>1012</v>
      </c>
      <c r="I400" s="0" t="n">
        <v>1</v>
      </c>
      <c r="J400" s="0" t="n">
        <v>187.28</v>
      </c>
    </row>
    <row r="401" customFormat="false" ht="15" hidden="false" customHeight="false" outlineLevel="0" collapsed="false">
      <c r="A401" s="0" t="n">
        <v>380</v>
      </c>
      <c r="B401" s="0" t="s">
        <v>1060</v>
      </c>
      <c r="C401" s="0" t="s">
        <v>706</v>
      </c>
      <c r="D401" s="0" t="s">
        <v>370</v>
      </c>
      <c r="E401" s="0" t="s">
        <v>764</v>
      </c>
      <c r="F401" s="0" t="s">
        <v>609</v>
      </c>
      <c r="G401" s="0" t="s">
        <v>54</v>
      </c>
      <c r="H401" s="0" t="s">
        <v>640</v>
      </c>
      <c r="I401" s="0" t="n">
        <v>1</v>
      </c>
      <c r="J401" s="0" t="n">
        <v>192.32</v>
      </c>
      <c r="K401" s="0" t="n">
        <v>106.22</v>
      </c>
    </row>
    <row r="402" customFormat="false" ht="15" hidden="false" customHeight="false" outlineLevel="0" collapsed="false">
      <c r="A402" s="0" t="n">
        <v>34</v>
      </c>
      <c r="B402" s="0" t="s">
        <v>938</v>
      </c>
      <c r="C402" s="0" t="s">
        <v>448</v>
      </c>
      <c r="D402" s="0" t="s">
        <v>122</v>
      </c>
      <c r="E402" s="0" t="s">
        <v>686</v>
      </c>
      <c r="F402" s="0" t="s">
        <v>680</v>
      </c>
      <c r="G402" s="0" t="s">
        <v>35</v>
      </c>
      <c r="H402" s="0" t="s">
        <v>783</v>
      </c>
      <c r="I402" s="0" t="n">
        <v>1</v>
      </c>
      <c r="J402" s="0" t="n">
        <v>2195.92</v>
      </c>
      <c r="K402" s="0" t="n">
        <v>1566.94</v>
      </c>
    </row>
    <row r="403" customFormat="false" ht="15" hidden="false" customHeight="false" outlineLevel="0" collapsed="false">
      <c r="A403" s="0" t="n">
        <v>172</v>
      </c>
      <c r="B403" s="0" t="s">
        <v>790</v>
      </c>
      <c r="C403" s="0" t="s">
        <v>313</v>
      </c>
      <c r="D403" s="0" t="s">
        <v>75</v>
      </c>
      <c r="E403" s="0" t="s">
        <v>52</v>
      </c>
      <c r="F403" s="0" t="s">
        <v>362</v>
      </c>
      <c r="G403" s="0" t="s">
        <v>35</v>
      </c>
      <c r="H403" s="0" t="s">
        <v>460</v>
      </c>
      <c r="I403" s="0" t="n">
        <v>2</v>
      </c>
      <c r="J403" s="0" t="n">
        <v>398.05</v>
      </c>
      <c r="K403" s="0" t="n">
        <v>283.89</v>
      </c>
    </row>
    <row r="404" customFormat="false" ht="15" hidden="false" customHeight="false" outlineLevel="0" collapsed="false">
      <c r="A404" s="0" t="n">
        <v>8</v>
      </c>
      <c r="B404" s="0" t="s">
        <v>678</v>
      </c>
      <c r="C404" s="0" t="s">
        <v>79</v>
      </c>
      <c r="D404" s="0" t="s">
        <v>604</v>
      </c>
      <c r="E404" s="0" t="s">
        <v>118</v>
      </c>
      <c r="F404" s="0" t="s">
        <v>351</v>
      </c>
      <c r="G404" s="0" t="s">
        <v>35</v>
      </c>
      <c r="H404" s="0" t="s">
        <v>744</v>
      </c>
      <c r="I404" s="0" t="n">
        <v>1</v>
      </c>
      <c r="J404" s="0" t="n">
        <v>384.15</v>
      </c>
      <c r="K404" s="0" t="n">
        <v>283.04</v>
      </c>
    </row>
    <row r="405" customFormat="false" ht="15" hidden="false" customHeight="false" outlineLevel="0" collapsed="false">
      <c r="A405" s="0" t="n">
        <v>319</v>
      </c>
      <c r="B405" s="0" t="s">
        <v>1061</v>
      </c>
      <c r="C405" s="0" t="s">
        <v>706</v>
      </c>
      <c r="D405" s="0" t="s">
        <v>799</v>
      </c>
      <c r="E405" s="0" t="s">
        <v>605</v>
      </c>
      <c r="F405" s="0" t="s">
        <v>77</v>
      </c>
      <c r="G405" s="0" t="s">
        <v>54</v>
      </c>
      <c r="H405" s="0" t="s">
        <v>568</v>
      </c>
      <c r="I405" s="0" t="n">
        <v>1</v>
      </c>
      <c r="J405" s="0" t="n">
        <v>84.45</v>
      </c>
      <c r="K405" s="0" t="n">
        <v>58.22</v>
      </c>
    </row>
    <row r="406" customFormat="false" ht="15" hidden="false" customHeight="false" outlineLevel="0" collapsed="false">
      <c r="A406" s="0" t="n">
        <v>71</v>
      </c>
      <c r="B406" s="0" t="s">
        <v>598</v>
      </c>
      <c r="C406" s="0" t="s">
        <v>451</v>
      </c>
      <c r="D406" s="0" t="s">
        <v>551</v>
      </c>
      <c r="E406" s="0" t="s">
        <v>196</v>
      </c>
      <c r="F406" s="0" t="s">
        <v>333</v>
      </c>
      <c r="G406" s="0" t="s">
        <v>35</v>
      </c>
      <c r="H406" s="0" t="s">
        <v>599</v>
      </c>
      <c r="I406" s="0" t="n">
        <v>3</v>
      </c>
      <c r="J406" s="0" t="n">
        <v>4289.38</v>
      </c>
      <c r="K406" s="0" t="n">
        <v>2592.34</v>
      </c>
      <c r="L406" s="0" t="s">
        <v>301</v>
      </c>
    </row>
    <row r="407" customFormat="false" ht="15" hidden="false" customHeight="false" outlineLevel="0" collapsed="false">
      <c r="A407" s="0" t="n">
        <v>107</v>
      </c>
      <c r="B407" s="0" t="s">
        <v>203</v>
      </c>
      <c r="C407" s="0" t="s">
        <v>220</v>
      </c>
      <c r="D407" s="0" t="s">
        <v>383</v>
      </c>
      <c r="E407" s="0" t="s">
        <v>806</v>
      </c>
      <c r="F407" s="0" t="s">
        <v>77</v>
      </c>
      <c r="G407" s="0" t="s">
        <v>54</v>
      </c>
      <c r="H407" s="0" t="s">
        <v>188</v>
      </c>
      <c r="I407" s="0" t="n">
        <v>1</v>
      </c>
      <c r="J407" s="0" t="n">
        <v>4026.44</v>
      </c>
      <c r="K407" s="0" t="n">
        <v>2298.02</v>
      </c>
    </row>
    <row r="408" customFormat="false" ht="15" hidden="false" customHeight="false" outlineLevel="0" collapsed="false">
      <c r="A408" s="0" t="n">
        <v>98</v>
      </c>
      <c r="B408" s="0" t="s">
        <v>545</v>
      </c>
      <c r="C408" s="0" t="s">
        <v>250</v>
      </c>
      <c r="D408" s="0" t="s">
        <v>122</v>
      </c>
      <c r="E408" s="0" t="s">
        <v>196</v>
      </c>
      <c r="F408" s="0" t="s">
        <v>108</v>
      </c>
      <c r="G408" s="0" t="s">
        <v>35</v>
      </c>
      <c r="H408" s="0" t="s">
        <v>352</v>
      </c>
      <c r="I408" s="0" t="n">
        <v>1</v>
      </c>
      <c r="J408" s="0" t="n">
        <v>2012.02</v>
      </c>
      <c r="K408" s="0" t="n">
        <v>1317.22</v>
      </c>
    </row>
    <row r="409" customFormat="false" ht="15" hidden="false" customHeight="false" outlineLevel="0" collapsed="false">
      <c r="A409" s="0" t="n">
        <v>111</v>
      </c>
      <c r="B409" s="0" t="s">
        <v>1062</v>
      </c>
      <c r="C409" s="0" t="s">
        <v>105</v>
      </c>
      <c r="D409" s="0" t="s">
        <v>819</v>
      </c>
      <c r="E409" s="0" t="s">
        <v>479</v>
      </c>
      <c r="F409" s="0" t="s">
        <v>441</v>
      </c>
      <c r="G409" s="0" t="s">
        <v>35</v>
      </c>
      <c r="H409" s="0" t="s">
        <v>1063</v>
      </c>
      <c r="I409" s="0" t="n">
        <v>2</v>
      </c>
      <c r="J409" s="0" t="n">
        <v>1254.9</v>
      </c>
      <c r="K409" s="0" t="n">
        <v>909.99</v>
      </c>
    </row>
    <row r="410" customFormat="false" ht="15" hidden="false" customHeight="false" outlineLevel="0" collapsed="false">
      <c r="A410" s="0" t="n">
        <v>361</v>
      </c>
      <c r="B410" s="0" t="s">
        <v>1064</v>
      </c>
      <c r="C410" s="0" t="s">
        <v>482</v>
      </c>
      <c r="D410" s="0" t="s">
        <v>285</v>
      </c>
      <c r="E410" s="0" t="s">
        <v>596</v>
      </c>
      <c r="F410" s="0" t="s">
        <v>60</v>
      </c>
      <c r="G410" s="0" t="s">
        <v>35</v>
      </c>
      <c r="H410" s="0" t="s">
        <v>1010</v>
      </c>
      <c r="I410" s="0" t="n">
        <v>1</v>
      </c>
      <c r="J410" s="0" t="n">
        <v>308.46</v>
      </c>
      <c r="K410" s="0" t="n">
        <v>236.92</v>
      </c>
    </row>
    <row r="411" customFormat="false" ht="15" hidden="false" customHeight="false" outlineLevel="0" collapsed="false">
      <c r="A411" s="0" t="n">
        <v>70</v>
      </c>
      <c r="B411" s="0" t="s">
        <v>598</v>
      </c>
      <c r="C411" s="0" t="s">
        <v>327</v>
      </c>
      <c r="D411" s="0" t="s">
        <v>575</v>
      </c>
      <c r="E411" s="0" t="s">
        <v>1065</v>
      </c>
      <c r="F411" s="0" t="s">
        <v>133</v>
      </c>
      <c r="G411" s="0" t="s">
        <v>35</v>
      </c>
      <c r="H411" s="0" t="s">
        <v>470</v>
      </c>
      <c r="I411" s="0" t="n">
        <v>1</v>
      </c>
      <c r="J411" s="0" t="n">
        <v>172.38</v>
      </c>
    </row>
    <row r="412" customFormat="false" ht="15" hidden="false" customHeight="false" outlineLevel="0" collapsed="false">
      <c r="A412" s="0" t="n">
        <v>347</v>
      </c>
      <c r="B412" s="0" t="s">
        <v>1066</v>
      </c>
      <c r="C412" s="0" t="s">
        <v>885</v>
      </c>
      <c r="D412" s="0" t="s">
        <v>269</v>
      </c>
      <c r="E412" s="0" t="s">
        <v>596</v>
      </c>
      <c r="F412" s="0" t="s">
        <v>287</v>
      </c>
      <c r="G412" s="0" t="s">
        <v>35</v>
      </c>
      <c r="H412" s="0" t="s">
        <v>1067</v>
      </c>
      <c r="I412" s="0" t="n">
        <v>2</v>
      </c>
      <c r="J412" s="0" t="n">
        <v>445.93</v>
      </c>
      <c r="K412" s="0" t="n">
        <v>319.45</v>
      </c>
    </row>
    <row r="413" customFormat="false" ht="15" hidden="false" customHeight="false" outlineLevel="0" collapsed="false">
      <c r="A413" s="0" t="n">
        <v>130</v>
      </c>
      <c r="B413" s="0" t="s">
        <v>1068</v>
      </c>
      <c r="C413" s="0" t="s">
        <v>691</v>
      </c>
      <c r="D413" s="0" t="s">
        <v>604</v>
      </c>
      <c r="E413" s="0" t="s">
        <v>511</v>
      </c>
      <c r="F413" s="0" t="s">
        <v>114</v>
      </c>
      <c r="G413" s="0" t="s">
        <v>35</v>
      </c>
      <c r="H413" s="0" t="s">
        <v>650</v>
      </c>
      <c r="I413" s="0" t="n">
        <v>1</v>
      </c>
      <c r="J413" s="0" t="n">
        <v>767.27</v>
      </c>
      <c r="K413" s="0" t="n">
        <v>514.9</v>
      </c>
    </row>
    <row r="414" customFormat="false" ht="15" hidden="false" customHeight="false" outlineLevel="0" collapsed="false">
      <c r="A414" s="0" t="n">
        <v>317</v>
      </c>
      <c r="B414" s="0" t="s">
        <v>1069</v>
      </c>
      <c r="C414" s="0" t="s">
        <v>146</v>
      </c>
      <c r="D414" s="0" t="s">
        <v>921</v>
      </c>
      <c r="E414" s="0" t="s">
        <v>636</v>
      </c>
      <c r="F414" s="0" t="s">
        <v>519</v>
      </c>
      <c r="G414" s="0" t="s">
        <v>35</v>
      </c>
      <c r="H414" s="0" t="s">
        <v>1070</v>
      </c>
      <c r="I414" s="0" t="n">
        <v>1</v>
      </c>
      <c r="J414" s="0" t="n">
        <v>3437.31</v>
      </c>
      <c r="K414" s="0" t="n">
        <v>2039.57</v>
      </c>
    </row>
    <row r="415" customFormat="false" ht="15" hidden="false" customHeight="false" outlineLevel="0" collapsed="false">
      <c r="A415" s="0" t="n">
        <v>259</v>
      </c>
      <c r="B415" s="0" t="s">
        <v>1071</v>
      </c>
      <c r="C415" s="0" t="s">
        <v>617</v>
      </c>
      <c r="D415" s="0" t="s">
        <v>51</v>
      </c>
      <c r="E415" s="0" t="s">
        <v>142</v>
      </c>
      <c r="F415" s="0" t="s">
        <v>322</v>
      </c>
      <c r="G415" s="0" t="s">
        <v>54</v>
      </c>
      <c r="H415" s="0" t="s">
        <v>757</v>
      </c>
      <c r="I415" s="0" t="n">
        <v>1</v>
      </c>
      <c r="J415" s="0" t="n">
        <v>150.51</v>
      </c>
      <c r="K415" s="0" t="n">
        <v>88.85</v>
      </c>
    </row>
    <row r="416" customFormat="false" ht="15" hidden="false" customHeight="false" outlineLevel="0" collapsed="false">
      <c r="A416" s="0" t="n">
        <v>323</v>
      </c>
      <c r="B416" s="0" t="s">
        <v>804</v>
      </c>
      <c r="C416" s="0" t="s">
        <v>117</v>
      </c>
      <c r="D416" s="0" t="s">
        <v>1072</v>
      </c>
      <c r="E416" s="0" t="s">
        <v>619</v>
      </c>
      <c r="F416" s="0" t="s">
        <v>72</v>
      </c>
      <c r="G416" s="0" t="s">
        <v>35</v>
      </c>
      <c r="H416" s="0" t="s">
        <v>820</v>
      </c>
      <c r="I416" s="0" t="n">
        <v>1</v>
      </c>
      <c r="J416" s="0" t="n">
        <v>122.23</v>
      </c>
      <c r="K416" s="0" t="n">
        <v>88.31</v>
      </c>
    </row>
    <row r="417" customFormat="false" ht="15" hidden="false" customHeight="false" outlineLevel="0" collapsed="false">
      <c r="A417" s="0" t="n">
        <v>151</v>
      </c>
      <c r="B417" s="0" t="s">
        <v>1073</v>
      </c>
      <c r="C417" s="0" t="s">
        <v>763</v>
      </c>
      <c r="D417" s="0" t="s">
        <v>659</v>
      </c>
      <c r="E417" s="0" t="s">
        <v>636</v>
      </c>
      <c r="F417" s="0" t="s">
        <v>376</v>
      </c>
      <c r="G417" s="0" t="s">
        <v>54</v>
      </c>
      <c r="H417" s="0" t="s">
        <v>594</v>
      </c>
      <c r="I417" s="0" t="n">
        <v>1</v>
      </c>
      <c r="J417" s="0" t="n">
        <v>3483.46</v>
      </c>
      <c r="K417" s="0" t="n">
        <v>1971.05</v>
      </c>
    </row>
    <row r="418" customFormat="false" ht="15" hidden="false" customHeight="false" outlineLevel="0" collapsed="false">
      <c r="A418" s="0" t="n">
        <v>338</v>
      </c>
      <c r="B418" s="0" t="s">
        <v>1074</v>
      </c>
      <c r="C418" s="0" t="s">
        <v>907</v>
      </c>
      <c r="D418" s="0" t="s">
        <v>177</v>
      </c>
      <c r="E418" s="0" t="s">
        <v>298</v>
      </c>
      <c r="F418" s="0" t="s">
        <v>490</v>
      </c>
      <c r="G418" s="0" t="s">
        <v>35</v>
      </c>
      <c r="H418" s="0" t="s">
        <v>1075</v>
      </c>
      <c r="I418" s="0" t="n">
        <v>1</v>
      </c>
      <c r="J418" s="0" t="n">
        <v>1644.8</v>
      </c>
      <c r="K418" s="0" t="n">
        <v>1156.08</v>
      </c>
    </row>
    <row r="419" customFormat="false" ht="15" hidden="false" customHeight="false" outlineLevel="0" collapsed="false">
      <c r="A419" s="0" t="n">
        <v>27</v>
      </c>
      <c r="B419" s="0" t="s">
        <v>1076</v>
      </c>
      <c r="C419" s="0" t="s">
        <v>485</v>
      </c>
      <c r="D419" s="0" t="s">
        <v>761</v>
      </c>
      <c r="E419" s="0" t="s">
        <v>436</v>
      </c>
      <c r="F419" s="0" t="s">
        <v>114</v>
      </c>
      <c r="G419" s="0" t="s">
        <v>35</v>
      </c>
      <c r="H419" s="0" t="s">
        <v>1077</v>
      </c>
      <c r="I419" s="0" t="n">
        <v>1</v>
      </c>
      <c r="J419" s="0" t="n">
        <v>2153.98</v>
      </c>
      <c r="K419" s="0" t="n">
        <v>1465.3</v>
      </c>
    </row>
    <row r="420" customFormat="false" ht="15" hidden="false" customHeight="false" outlineLevel="0" collapsed="false">
      <c r="A420" s="0" t="n">
        <v>399</v>
      </c>
      <c r="B420" s="0" t="s">
        <v>348</v>
      </c>
      <c r="C420" s="0" t="s">
        <v>44</v>
      </c>
      <c r="D420" s="0" t="s">
        <v>672</v>
      </c>
      <c r="E420" s="0" t="s">
        <v>1002</v>
      </c>
      <c r="F420" s="0" t="s">
        <v>41</v>
      </c>
      <c r="G420" s="0" t="s">
        <v>35</v>
      </c>
      <c r="H420" s="0" t="s">
        <v>677</v>
      </c>
      <c r="I420" s="0" t="n">
        <v>1</v>
      </c>
      <c r="J420" s="0" t="n">
        <v>4915.67</v>
      </c>
      <c r="K420" s="0" t="n">
        <v>3328.09</v>
      </c>
    </row>
    <row r="421" customFormat="false" ht="15" hidden="false" customHeight="false" outlineLevel="0" collapsed="false">
      <c r="A421" s="0" t="n">
        <v>94</v>
      </c>
      <c r="B421" s="0" t="s">
        <v>936</v>
      </c>
      <c r="C421" s="0" t="s">
        <v>766</v>
      </c>
      <c r="D421" s="0" t="s">
        <v>137</v>
      </c>
      <c r="E421" s="0" t="s">
        <v>850</v>
      </c>
      <c r="F421" s="0" t="s">
        <v>282</v>
      </c>
      <c r="G421" s="0" t="s">
        <v>35</v>
      </c>
      <c r="H421" s="0" t="s">
        <v>616</v>
      </c>
      <c r="I421" s="0" t="n">
        <v>1</v>
      </c>
      <c r="J421" s="0" t="n">
        <v>2172.69</v>
      </c>
      <c r="K421" s="0" t="n">
        <v>1612.87</v>
      </c>
    </row>
    <row r="422" customFormat="false" ht="15" hidden="false" customHeight="false" outlineLevel="0" collapsed="false">
      <c r="A422" s="0" t="n">
        <v>149</v>
      </c>
      <c r="B422" s="0" t="s">
        <v>1078</v>
      </c>
      <c r="C422" s="0" t="s">
        <v>186</v>
      </c>
      <c r="D422" s="0" t="s">
        <v>236</v>
      </c>
      <c r="E422" s="0" t="s">
        <v>591</v>
      </c>
      <c r="F422" s="0" t="s">
        <v>333</v>
      </c>
      <c r="G422" s="0" t="s">
        <v>35</v>
      </c>
      <c r="H422" s="0" t="s">
        <v>470</v>
      </c>
      <c r="I422" s="0" t="n">
        <v>1</v>
      </c>
      <c r="J422" s="0" t="n">
        <v>4260.62</v>
      </c>
      <c r="K422" s="0" t="n">
        <v>2644.71</v>
      </c>
    </row>
    <row r="423" customFormat="false" ht="15" hidden="false" customHeight="false" outlineLevel="0" collapsed="false">
      <c r="A423" s="0" t="n">
        <v>120</v>
      </c>
      <c r="B423" s="0" t="s">
        <v>673</v>
      </c>
      <c r="C423" s="0" t="s">
        <v>117</v>
      </c>
      <c r="D423" s="0" t="s">
        <v>618</v>
      </c>
      <c r="E423" s="0" t="s">
        <v>1040</v>
      </c>
      <c r="F423" s="0" t="s">
        <v>265</v>
      </c>
      <c r="G423" s="0" t="s">
        <v>35</v>
      </c>
      <c r="H423" s="0" t="s">
        <v>1079</v>
      </c>
      <c r="I423" s="0" t="n">
        <v>-1</v>
      </c>
      <c r="J423" s="0" t="n">
        <v>347.38</v>
      </c>
      <c r="K423" s="0" t="n">
        <v>243.79</v>
      </c>
    </row>
    <row r="424" customFormat="false" ht="15" hidden="false" customHeight="false" outlineLevel="0" collapsed="false">
      <c r="A424" s="0" t="n">
        <v>406</v>
      </c>
      <c r="B424" s="0" t="s">
        <v>1080</v>
      </c>
      <c r="C424" s="0" t="s">
        <v>386</v>
      </c>
      <c r="D424" s="0" t="s">
        <v>432</v>
      </c>
      <c r="E424" s="0" t="s">
        <v>328</v>
      </c>
      <c r="F424" s="0" t="s">
        <v>66</v>
      </c>
      <c r="G424" s="0" t="s">
        <v>35</v>
      </c>
      <c r="H424" s="0" t="s">
        <v>1081</v>
      </c>
      <c r="I424" s="0" t="n">
        <v>1</v>
      </c>
      <c r="J424" s="0" t="n">
        <v>6449.34</v>
      </c>
      <c r="K424" s="0" t="n">
        <v>3778.97</v>
      </c>
    </row>
    <row r="425" customFormat="false" ht="15" hidden="false" customHeight="false" outlineLevel="0" collapsed="false">
      <c r="A425" s="0" t="n">
        <v>139</v>
      </c>
      <c r="B425" s="0" t="s">
        <v>1082</v>
      </c>
      <c r="C425" s="0" t="s">
        <v>50</v>
      </c>
      <c r="D425" s="0" t="s">
        <v>458</v>
      </c>
      <c r="E425" s="0" t="s">
        <v>1083</v>
      </c>
      <c r="F425" s="0" t="s">
        <v>108</v>
      </c>
      <c r="G425" s="0" t="s">
        <v>35</v>
      </c>
      <c r="H425" s="0" t="s">
        <v>735</v>
      </c>
      <c r="I425" s="0" t="n">
        <v>1</v>
      </c>
      <c r="J425" s="0" t="n">
        <v>3199.74</v>
      </c>
      <c r="K425" s="0" t="n">
        <v>2385.79</v>
      </c>
    </row>
    <row r="426" customFormat="false" ht="15" hidden="false" customHeight="false" outlineLevel="0" collapsed="false">
      <c r="A426" s="0" t="n">
        <v>170</v>
      </c>
      <c r="B426" s="0" t="s">
        <v>1084</v>
      </c>
      <c r="C426" s="0" t="s">
        <v>885</v>
      </c>
      <c r="D426" s="0" t="s">
        <v>761</v>
      </c>
      <c r="E426" s="0" t="s">
        <v>429</v>
      </c>
      <c r="F426" s="0" t="s">
        <v>41</v>
      </c>
      <c r="G426" s="0" t="s">
        <v>54</v>
      </c>
      <c r="H426" s="0" t="s">
        <v>640</v>
      </c>
      <c r="I426" s="0" t="n">
        <v>1</v>
      </c>
      <c r="J426" s="0" t="n">
        <v>1608.96</v>
      </c>
      <c r="K426" s="0" t="n">
        <v>1105.65</v>
      </c>
    </row>
    <row r="427" customFormat="false" ht="15" hidden="false" customHeight="false" outlineLevel="0" collapsed="false">
      <c r="A427" s="0" t="n">
        <v>364</v>
      </c>
      <c r="B427" s="0" t="s">
        <v>1085</v>
      </c>
      <c r="C427" s="0" t="s">
        <v>439</v>
      </c>
      <c r="D427" s="0" t="s">
        <v>106</v>
      </c>
      <c r="E427" s="0" t="s">
        <v>745</v>
      </c>
      <c r="F427" s="0" t="s">
        <v>77</v>
      </c>
      <c r="G427" s="0" t="s">
        <v>35</v>
      </c>
      <c r="H427" s="0" t="s">
        <v>1008</v>
      </c>
      <c r="I427" s="0" t="n">
        <v>1</v>
      </c>
      <c r="J427" s="0" t="n">
        <v>894.56</v>
      </c>
      <c r="K427" s="0" t="n">
        <v>504.78</v>
      </c>
    </row>
    <row r="428" customFormat="false" ht="15" hidden="false" customHeight="false" outlineLevel="0" collapsed="false">
      <c r="A428" s="0" t="n">
        <v>203</v>
      </c>
      <c r="B428" s="0" t="s">
        <v>1086</v>
      </c>
      <c r="C428" s="0" t="s">
        <v>250</v>
      </c>
      <c r="D428" s="0" t="s">
        <v>672</v>
      </c>
      <c r="E428" s="0" t="s">
        <v>879</v>
      </c>
      <c r="F428" s="0" t="s">
        <v>265</v>
      </c>
      <c r="G428" s="0" t="s">
        <v>35</v>
      </c>
      <c r="H428" s="0" t="s">
        <v>1087</v>
      </c>
      <c r="I428" s="0" t="n">
        <v>3</v>
      </c>
      <c r="J428" s="0" t="n">
        <v>3320.75</v>
      </c>
      <c r="K428" s="0" t="n">
        <v>2115.98</v>
      </c>
    </row>
    <row r="429" customFormat="false" ht="15" hidden="false" customHeight="false" outlineLevel="0" collapsed="false">
      <c r="A429" s="0" t="n">
        <v>148</v>
      </c>
      <c r="B429" s="0" t="s">
        <v>1088</v>
      </c>
      <c r="C429" s="0" t="s">
        <v>199</v>
      </c>
      <c r="D429" s="0" t="s">
        <v>285</v>
      </c>
      <c r="E429" s="0" t="s">
        <v>877</v>
      </c>
      <c r="F429" s="0" t="s">
        <v>72</v>
      </c>
      <c r="G429" s="0" t="s">
        <v>54</v>
      </c>
      <c r="H429" s="0" t="s">
        <v>1089</v>
      </c>
      <c r="I429" s="0" t="n">
        <v>1</v>
      </c>
      <c r="J429" s="0" t="n">
        <v>884.74</v>
      </c>
      <c r="K429" s="0" t="n">
        <v>669.09</v>
      </c>
    </row>
    <row r="430" customFormat="false" ht="15" hidden="false" customHeight="false" outlineLevel="0" collapsed="false">
      <c r="A430" s="0" t="n">
        <v>278</v>
      </c>
      <c r="B430" s="0" t="s">
        <v>746</v>
      </c>
      <c r="C430" s="0" t="s">
        <v>510</v>
      </c>
      <c r="D430" s="0" t="s">
        <v>761</v>
      </c>
      <c r="E430" s="0" t="s">
        <v>158</v>
      </c>
      <c r="F430" s="0" t="s">
        <v>53</v>
      </c>
      <c r="G430" s="0" t="s">
        <v>35</v>
      </c>
      <c r="H430" s="0" t="s">
        <v>925</v>
      </c>
      <c r="I430" s="0" t="n">
        <v>1</v>
      </c>
      <c r="J430" s="0" t="n">
        <v>2503.52</v>
      </c>
      <c r="K430" s="0" t="n">
        <v>1462.95</v>
      </c>
    </row>
    <row r="431" customFormat="false" ht="15" hidden="false" customHeight="false" outlineLevel="0" collapsed="false">
      <c r="A431" s="0" t="n">
        <v>257</v>
      </c>
      <c r="B431" s="0" t="s">
        <v>1090</v>
      </c>
      <c r="C431" s="0" t="s">
        <v>617</v>
      </c>
      <c r="D431" s="0" t="s">
        <v>241</v>
      </c>
      <c r="E431" s="0" t="s">
        <v>1083</v>
      </c>
      <c r="F431" s="0" t="s">
        <v>609</v>
      </c>
      <c r="G431" s="0" t="s">
        <v>35</v>
      </c>
      <c r="H431" s="0" t="s">
        <v>752</v>
      </c>
      <c r="I431" s="0" t="n">
        <v>1</v>
      </c>
      <c r="J431" s="0" t="n">
        <v>6679.6</v>
      </c>
      <c r="K431" s="0" t="n">
        <v>3887.33</v>
      </c>
    </row>
    <row r="432" customFormat="false" ht="15" hidden="false" customHeight="false" outlineLevel="0" collapsed="false">
      <c r="A432" s="0" t="n">
        <v>132</v>
      </c>
      <c r="B432" s="0" t="s">
        <v>194</v>
      </c>
      <c r="C432" s="0" t="s">
        <v>296</v>
      </c>
      <c r="D432" s="0" t="s">
        <v>822</v>
      </c>
      <c r="E432" s="0" t="s">
        <v>1025</v>
      </c>
      <c r="F432" s="0" t="s">
        <v>299</v>
      </c>
      <c r="G432" s="0" t="s">
        <v>35</v>
      </c>
      <c r="H432" s="0" t="s">
        <v>300</v>
      </c>
      <c r="I432" s="0" t="n">
        <v>2</v>
      </c>
      <c r="J432" s="0" t="n">
        <v>449.75</v>
      </c>
      <c r="K432" s="0" t="n">
        <v>316.51</v>
      </c>
    </row>
    <row r="433" customFormat="false" ht="15" hidden="false" customHeight="false" outlineLevel="0" collapsed="false">
      <c r="A433" s="0" t="n">
        <v>250</v>
      </c>
      <c r="B433" s="0" t="s">
        <v>600</v>
      </c>
      <c r="C433" s="0" t="s">
        <v>111</v>
      </c>
      <c r="D433" s="0" t="s">
        <v>601</v>
      </c>
      <c r="E433" s="0" t="s">
        <v>602</v>
      </c>
      <c r="F433" s="0" t="s">
        <v>163</v>
      </c>
      <c r="G433" s="0" t="s">
        <v>35</v>
      </c>
      <c r="H433" s="0" t="s">
        <v>603</v>
      </c>
      <c r="I433" s="0" t="n">
        <v>1</v>
      </c>
      <c r="J433" s="0" t="n">
        <v>4116.1</v>
      </c>
      <c r="K433" s="0" t="n">
        <v>2786.67</v>
      </c>
    </row>
    <row r="434" customFormat="false" ht="15" hidden="false" customHeight="false" outlineLevel="0" collapsed="false">
      <c r="A434" s="0" t="n">
        <v>153</v>
      </c>
      <c r="B434" s="0" t="s">
        <v>1091</v>
      </c>
      <c r="C434" s="0" t="s">
        <v>313</v>
      </c>
      <c r="D434" s="0" t="s">
        <v>336</v>
      </c>
      <c r="E434" s="0" t="s">
        <v>405</v>
      </c>
      <c r="F434" s="0" t="s">
        <v>346</v>
      </c>
      <c r="G434" s="0" t="s">
        <v>35</v>
      </c>
      <c r="H434" s="0" t="s">
        <v>944</v>
      </c>
      <c r="I434" s="0" t="n">
        <v>-1</v>
      </c>
      <c r="J434" s="0" t="n">
        <v>3457.2</v>
      </c>
      <c r="K434" s="0" t="n">
        <v>2191.84</v>
      </c>
    </row>
    <row r="435" customFormat="false" ht="15" hidden="false" customHeight="false" outlineLevel="0" collapsed="false">
      <c r="A435" s="0" t="n">
        <v>363</v>
      </c>
      <c r="B435" s="0" t="s">
        <v>1092</v>
      </c>
      <c r="C435" s="0" t="s">
        <v>892</v>
      </c>
      <c r="D435" s="0" t="s">
        <v>972</v>
      </c>
      <c r="E435" s="0" t="s">
        <v>774</v>
      </c>
      <c r="F435" s="0" t="s">
        <v>490</v>
      </c>
      <c r="G435" s="0" t="s">
        <v>35</v>
      </c>
      <c r="H435" s="0" t="s">
        <v>144</v>
      </c>
      <c r="I435" s="0" t="n">
        <v>2</v>
      </c>
      <c r="J435" s="0" t="n">
        <v>174.92</v>
      </c>
      <c r="K435" s="0" t="n">
        <v>112.07</v>
      </c>
    </row>
    <row r="437" customFormat="false" ht="15" hidden="false" customHeight="false" outlineLevel="0" collapsed="false">
      <c r="A437" s="9" t="s">
        <v>1093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58"/>
    <col collapsed="false" customWidth="true" hidden="false" outlineLevel="0" max="6" min="5" style="0" width="10"/>
  </cols>
  <sheetData>
    <row r="2" customFormat="false" ht="18.55" hidden="false" customHeight="false" outlineLevel="0" collapsed="false">
      <c r="B2" s="10" t="s">
        <v>1094</v>
      </c>
    </row>
    <row r="3" customFormat="false" ht="15" hidden="false" customHeight="false" outlineLevel="0" collapsed="false">
      <c r="B3" s="11" t="s">
        <v>1095</v>
      </c>
    </row>
    <row r="5" customFormat="false" ht="15" hidden="false" customHeight="false" outlineLevel="0" collapsed="false">
      <c r="B5" s="12" t="s">
        <v>1096</v>
      </c>
      <c r="D5" s="12" t="s">
        <v>1097</v>
      </c>
    </row>
    <row r="6" customFormat="false" ht="31.5" hidden="false" customHeight="true" outlineLevel="0" collapsed="false">
      <c r="B6" s="13" t="s">
        <v>1098</v>
      </c>
      <c r="D6" s="14" t="s">
        <v>1099</v>
      </c>
    </row>
    <row r="7" customFormat="false" ht="31.5" hidden="false" customHeight="true" outlineLevel="0" collapsed="false">
      <c r="B7" s="13" t="s">
        <v>1100</v>
      </c>
      <c r="D7" s="14" t="s">
        <v>1101</v>
      </c>
    </row>
    <row r="8" customFormat="false" ht="31.5" hidden="false" customHeight="true" outlineLevel="0" collapsed="false">
      <c r="B8" s="13" t="s">
        <v>1102</v>
      </c>
      <c r="D8" s="14" t="s">
        <v>1103</v>
      </c>
    </row>
    <row r="9" customFormat="false" ht="31.5" hidden="false" customHeight="true" outlineLevel="0" collapsed="false">
      <c r="B9" s="13" t="s">
        <v>1104</v>
      </c>
      <c r="D9" s="14" t="s">
        <v>1105</v>
      </c>
    </row>
    <row r="10" customFormat="false" ht="31.5" hidden="false" customHeight="true" outlineLevel="0" collapsed="false">
      <c r="B10" s="13" t="s">
        <v>1106</v>
      </c>
      <c r="D10" s="14" t="s">
        <v>1107</v>
      </c>
    </row>
    <row r="11" customFormat="false" ht="31.5" hidden="false" customHeight="true" outlineLevel="0" collapsed="false">
      <c r="B11" s="13" t="s">
        <v>1108</v>
      </c>
      <c r="D11" s="14" t="s">
        <v>1109</v>
      </c>
    </row>
    <row r="12" customFormat="false" ht="31.5" hidden="false" customHeight="true" outlineLevel="0" collapsed="false">
      <c r="B12" s="13" t="s">
        <v>1110</v>
      </c>
      <c r="D12" s="14" t="s">
        <v>1111</v>
      </c>
    </row>
    <row r="13" customFormat="false" ht="31.5" hidden="false" customHeight="true" outlineLevel="0" collapsed="false">
      <c r="B13" s="13" t="s">
        <v>1112</v>
      </c>
      <c r="D13" s="14" t="s">
        <v>1113</v>
      </c>
    </row>
    <row r="14" customFormat="false" ht="31.5" hidden="false" customHeight="true" outlineLevel="0" collapsed="false">
      <c r="B14" s="13" t="s">
        <v>1114</v>
      </c>
      <c r="D14" s="14" t="s">
        <v>1115</v>
      </c>
    </row>
    <row r="15" customFormat="false" ht="31.5" hidden="false" customHeight="true" outlineLevel="0" collapsed="false">
      <c r="B15" s="13" t="s">
        <v>1116</v>
      </c>
      <c r="D15" s="14" t="s">
        <v>1117</v>
      </c>
    </row>
    <row r="16" customFormat="false" ht="31.5" hidden="false" customHeight="true" outlineLevel="0" collapsed="false">
      <c r="B16" s="13" t="s">
        <v>1118</v>
      </c>
      <c r="D16" s="14" t="s">
        <v>1119</v>
      </c>
    </row>
    <row r="17" customFormat="false" ht="31.5" hidden="false" customHeight="true" outlineLevel="0" collapsed="false">
      <c r="B17" s="13" t="s">
        <v>1120</v>
      </c>
      <c r="D17" s="14" t="s">
        <v>1121</v>
      </c>
    </row>
    <row r="18" customFormat="false" ht="31.5" hidden="false" customHeight="true" outlineLevel="0" collapsed="false">
      <c r="B18" s="13" t="s">
        <v>1122</v>
      </c>
      <c r="D18" s="14" t="s">
        <v>1123</v>
      </c>
    </row>
    <row r="19" customFormat="false" ht="31.5" hidden="false" customHeight="true" outlineLevel="0" collapsed="false">
      <c r="B19" s="13" t="s">
        <v>1124</v>
      </c>
      <c r="D19" s="14" t="s">
        <v>1125</v>
      </c>
    </row>
    <row r="21" customFormat="false" ht="16.15" hidden="false" customHeight="false" outlineLevel="0" collapsed="false">
      <c r="B21" s="15" t="s">
        <v>1126</v>
      </c>
    </row>
    <row r="22" customFormat="false" ht="619.5" hidden="false" customHeight="true" outlineLevel="0" collapsed="false">
      <c r="B22" s="16" t="s">
        <v>1127</v>
      </c>
      <c r="C22" s="16"/>
      <c r="D22" s="16"/>
      <c r="E22" s="16"/>
      <c r="F22" s="16"/>
    </row>
  </sheetData>
  <mergeCells count="1"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2"/>
  </cols>
  <sheetData>
    <row r="1" customFormat="false" ht="15" hidden="false" customHeight="false" outlineLevel="0" collapsed="false">
      <c r="A1" s="17" t="s">
        <v>1128</v>
      </c>
      <c r="B1" s="17" t="s">
        <v>1129</v>
      </c>
      <c r="C1" s="17" t="s">
        <v>1130</v>
      </c>
      <c r="D1" s="17" t="s">
        <v>1131</v>
      </c>
      <c r="E1" s="17" t="s">
        <v>1132</v>
      </c>
      <c r="F1" s="17" t="s">
        <v>1133</v>
      </c>
      <c r="G1" s="17" t="s">
        <v>22</v>
      </c>
      <c r="H1" s="17" t="s">
        <v>1134</v>
      </c>
      <c r="I1" s="17" t="s">
        <v>1135</v>
      </c>
      <c r="J1" s="17" t="s">
        <v>1136</v>
      </c>
      <c r="K1" s="17" t="s">
        <v>1137</v>
      </c>
      <c r="L1" s="17" t="s">
        <v>1138</v>
      </c>
      <c r="M1" s="17" t="s">
        <v>1139</v>
      </c>
      <c r="N1" s="17" t="s">
        <v>1140</v>
      </c>
      <c r="O1" s="17" t="s">
        <v>1141</v>
      </c>
      <c r="P1" s="17" t="s">
        <v>1142</v>
      </c>
      <c r="Q1" s="17" t="s">
        <v>1143</v>
      </c>
      <c r="R1" s="17" t="s">
        <v>1144</v>
      </c>
    </row>
    <row r="2" customFormat="false" ht="15" hidden="false" customHeight="false" outlineLevel="0" collapsed="false">
      <c r="A2" s="0" t="n">
        <v>1</v>
      </c>
      <c r="B2" s="18" t="n">
        <v>44932</v>
      </c>
      <c r="C2" s="0" t="n">
        <v>2023</v>
      </c>
      <c r="D2" s="0" t="n">
        <v>1</v>
      </c>
      <c r="E2" s="19" t="s">
        <v>782</v>
      </c>
      <c r="F2" s="19" t="s">
        <v>698</v>
      </c>
      <c r="G2" s="19" t="s">
        <v>173</v>
      </c>
      <c r="H2" s="19" t="s">
        <v>362</v>
      </c>
      <c r="I2" s="19" t="s">
        <v>35</v>
      </c>
      <c r="J2" s="19" t="s">
        <v>647</v>
      </c>
      <c r="K2" s="0" t="n">
        <v>1</v>
      </c>
      <c r="L2" s="20" t="n">
        <v>225.45</v>
      </c>
      <c r="M2" s="20" t="n">
        <v>144.54</v>
      </c>
      <c r="N2" s="20" t="n">
        <v>225.45</v>
      </c>
      <c r="O2" s="20" t="n">
        <v>144.54</v>
      </c>
      <c r="P2" s="20" t="n">
        <v>80.91</v>
      </c>
      <c r="Q2" s="21" t="n">
        <v>0.3589</v>
      </c>
      <c r="R2" s="19" t="s">
        <v>1145</v>
      </c>
    </row>
    <row r="3" customFormat="false" ht="15" hidden="false" customHeight="false" outlineLevel="0" collapsed="false">
      <c r="A3" s="0" t="n">
        <v>2</v>
      </c>
      <c r="B3" s="18" t="n">
        <v>44935</v>
      </c>
      <c r="C3" s="0" t="n">
        <v>2023</v>
      </c>
      <c r="D3" s="0" t="n">
        <v>1</v>
      </c>
      <c r="E3" s="19" t="s">
        <v>268</v>
      </c>
      <c r="F3" s="19" t="s">
        <v>960</v>
      </c>
      <c r="G3" s="19" t="s">
        <v>1146</v>
      </c>
      <c r="H3" s="19" t="s">
        <v>362</v>
      </c>
      <c r="I3" s="19" t="s">
        <v>35</v>
      </c>
      <c r="J3" s="19" t="s">
        <v>716</v>
      </c>
      <c r="K3" s="0" t="n">
        <v>1</v>
      </c>
      <c r="L3" s="20" t="n">
        <v>4272.76</v>
      </c>
      <c r="M3" s="20" t="n">
        <v>3155.96</v>
      </c>
      <c r="N3" s="20" t="n">
        <v>4272.76</v>
      </c>
      <c r="O3" s="20" t="n">
        <v>3155.96</v>
      </c>
      <c r="P3" s="20" t="n">
        <v>1116.8</v>
      </c>
      <c r="Q3" s="21" t="n">
        <v>0.2614</v>
      </c>
      <c r="R3" s="19" t="s">
        <v>1147</v>
      </c>
    </row>
    <row r="4" customFormat="false" ht="15" hidden="false" customHeight="false" outlineLevel="0" collapsed="false">
      <c r="A4" s="0" t="n">
        <v>3</v>
      </c>
      <c r="B4" s="18" t="n">
        <v>44937</v>
      </c>
      <c r="C4" s="0" t="n">
        <v>2023</v>
      </c>
      <c r="D4" s="0" t="n">
        <v>1</v>
      </c>
      <c r="E4" s="19" t="s">
        <v>782</v>
      </c>
      <c r="F4" s="19" t="s">
        <v>853</v>
      </c>
      <c r="G4" s="19" t="s">
        <v>1148</v>
      </c>
      <c r="H4" s="19" t="s">
        <v>333</v>
      </c>
      <c r="I4" s="19" t="s">
        <v>35</v>
      </c>
      <c r="J4" s="19" t="s">
        <v>1048</v>
      </c>
      <c r="K4" s="0" t="n">
        <v>1</v>
      </c>
      <c r="L4" s="20" t="n">
        <v>1644.97</v>
      </c>
      <c r="M4" s="20" t="n">
        <v>1274.77</v>
      </c>
      <c r="N4" s="20" t="n">
        <v>1644.97</v>
      </c>
      <c r="O4" s="20" t="n">
        <v>1274.77</v>
      </c>
      <c r="P4" s="20" t="n">
        <v>370.2</v>
      </c>
      <c r="Q4" s="21" t="n">
        <v>0.225</v>
      </c>
      <c r="R4" s="19" t="s">
        <v>1149</v>
      </c>
    </row>
    <row r="5" customFormat="false" ht="15" hidden="false" customHeight="false" outlineLevel="0" collapsed="false">
      <c r="A5" s="0" t="n">
        <v>4</v>
      </c>
      <c r="B5" s="18" t="n">
        <v>44940</v>
      </c>
      <c r="C5" s="0" t="n">
        <v>2023</v>
      </c>
      <c r="D5" s="0" t="n">
        <v>1</v>
      </c>
      <c r="E5" s="19" t="s">
        <v>782</v>
      </c>
      <c r="F5" s="19" t="s">
        <v>958</v>
      </c>
      <c r="G5" s="19" t="s">
        <v>1150</v>
      </c>
      <c r="H5" s="19" t="s">
        <v>362</v>
      </c>
      <c r="I5" s="19" t="s">
        <v>35</v>
      </c>
      <c r="J5" s="19" t="s">
        <v>1054</v>
      </c>
      <c r="K5" s="0" t="n">
        <v>1</v>
      </c>
      <c r="L5" s="20" t="n">
        <v>1889.57</v>
      </c>
      <c r="M5" s="20" t="n">
        <v>1288.57</v>
      </c>
      <c r="N5" s="20" t="n">
        <v>1889.57</v>
      </c>
      <c r="O5" s="20" t="n">
        <v>1288.57</v>
      </c>
      <c r="P5" s="20" t="n">
        <v>601</v>
      </c>
      <c r="Q5" s="21" t="n">
        <v>0.3181</v>
      </c>
      <c r="R5" s="19" t="s">
        <v>1149</v>
      </c>
    </row>
    <row r="6" customFormat="false" ht="15" hidden="false" customHeight="false" outlineLevel="0" collapsed="false">
      <c r="A6" s="0" t="n">
        <v>5</v>
      </c>
      <c r="B6" s="18" t="n">
        <v>44942</v>
      </c>
      <c r="C6" s="0" t="n">
        <v>2023</v>
      </c>
      <c r="D6" s="0" t="n">
        <v>1</v>
      </c>
      <c r="E6" s="19" t="s">
        <v>782</v>
      </c>
      <c r="F6" s="19" t="s">
        <v>588</v>
      </c>
      <c r="G6" s="19" t="s">
        <v>1151</v>
      </c>
      <c r="H6" s="19" t="s">
        <v>362</v>
      </c>
      <c r="I6" s="19" t="s">
        <v>35</v>
      </c>
      <c r="J6" s="19" t="s">
        <v>260</v>
      </c>
      <c r="K6" s="0" t="n">
        <v>1</v>
      </c>
      <c r="L6" s="20" t="n">
        <v>764.8</v>
      </c>
      <c r="M6" s="20" t="n">
        <v>421.4</v>
      </c>
      <c r="N6" s="20" t="n">
        <v>764.8</v>
      </c>
      <c r="O6" s="20" t="n">
        <v>421.4</v>
      </c>
      <c r="P6" s="20" t="n">
        <v>343.4</v>
      </c>
      <c r="Q6" s="21" t="n">
        <v>0.449</v>
      </c>
      <c r="R6" s="19" t="s">
        <v>1145</v>
      </c>
    </row>
    <row r="7" customFormat="false" ht="15" hidden="false" customHeight="false" outlineLevel="0" collapsed="false">
      <c r="A7" s="0" t="n">
        <v>6</v>
      </c>
      <c r="B7" s="18" t="n">
        <v>44942</v>
      </c>
      <c r="C7" s="0" t="n">
        <v>2023</v>
      </c>
      <c r="D7" s="0" t="n">
        <v>1</v>
      </c>
      <c r="E7" s="19" t="s">
        <v>204</v>
      </c>
      <c r="F7" s="19" t="s">
        <v>588</v>
      </c>
      <c r="G7" s="19" t="s">
        <v>1152</v>
      </c>
      <c r="H7" s="19" t="s">
        <v>333</v>
      </c>
      <c r="I7" s="19" t="s">
        <v>54</v>
      </c>
      <c r="J7" s="19" t="s">
        <v>1048</v>
      </c>
      <c r="K7" s="0" t="n">
        <v>1</v>
      </c>
      <c r="L7" s="20" t="n">
        <v>527.07</v>
      </c>
      <c r="M7" s="20" t="n">
        <v>374.35</v>
      </c>
      <c r="N7" s="20" t="n">
        <v>527.07</v>
      </c>
      <c r="O7" s="20" t="n">
        <v>374.35</v>
      </c>
      <c r="P7" s="20" t="n">
        <v>152.72</v>
      </c>
      <c r="Q7" s="21" t="n">
        <v>0.2898</v>
      </c>
      <c r="R7" s="19" t="s">
        <v>1145</v>
      </c>
    </row>
    <row r="8" customFormat="false" ht="15" hidden="false" customHeight="false" outlineLevel="0" collapsed="false">
      <c r="A8" s="0" t="n">
        <v>7</v>
      </c>
      <c r="B8" s="18" t="n">
        <v>44943</v>
      </c>
      <c r="C8" s="0" t="n">
        <v>2023</v>
      </c>
      <c r="D8" s="0" t="n">
        <v>1</v>
      </c>
      <c r="E8" s="19" t="s">
        <v>782</v>
      </c>
      <c r="F8" s="19" t="s">
        <v>588</v>
      </c>
      <c r="G8" s="19" t="s">
        <v>1153</v>
      </c>
      <c r="H8" s="19" t="s">
        <v>362</v>
      </c>
      <c r="I8" s="19" t="s">
        <v>35</v>
      </c>
      <c r="J8" s="19" t="s">
        <v>1054</v>
      </c>
      <c r="K8" s="0" t="n">
        <v>1</v>
      </c>
      <c r="L8" s="20" t="n">
        <v>384.15</v>
      </c>
      <c r="M8" s="20" t="n">
        <v>283.04</v>
      </c>
      <c r="N8" s="20" t="n">
        <v>384.15</v>
      </c>
      <c r="O8" s="20" t="n">
        <v>283.04</v>
      </c>
      <c r="P8" s="20" t="n">
        <v>101.11</v>
      </c>
      <c r="Q8" s="21" t="n">
        <v>0.2632</v>
      </c>
      <c r="R8" s="19" t="s">
        <v>1145</v>
      </c>
    </row>
    <row r="9" customFormat="false" ht="15" hidden="false" customHeight="false" outlineLevel="0" collapsed="false">
      <c r="A9" s="0" t="n">
        <v>8</v>
      </c>
      <c r="B9" s="18" t="n">
        <v>44943</v>
      </c>
      <c r="C9" s="0" t="n">
        <v>2023</v>
      </c>
      <c r="D9" s="0" t="n">
        <v>1</v>
      </c>
      <c r="E9" s="19" t="s">
        <v>204</v>
      </c>
      <c r="F9" s="19" t="s">
        <v>960</v>
      </c>
      <c r="G9" s="19" t="s">
        <v>1154</v>
      </c>
      <c r="H9" s="19" t="s">
        <v>362</v>
      </c>
      <c r="I9" s="19" t="s">
        <v>35</v>
      </c>
      <c r="J9" s="19" t="s">
        <v>647</v>
      </c>
      <c r="K9" s="0" t="n">
        <v>1</v>
      </c>
      <c r="L9" s="20" t="n">
        <v>5722.79</v>
      </c>
      <c r="M9" s="20" t="n">
        <v>3435.6</v>
      </c>
      <c r="N9" s="20" t="n">
        <v>5722.79</v>
      </c>
      <c r="O9" s="20" t="n">
        <v>3435.6</v>
      </c>
      <c r="P9" s="20" t="n">
        <v>2287.19</v>
      </c>
      <c r="Q9" s="21" t="n">
        <v>0.3997</v>
      </c>
      <c r="R9" s="19" t="s">
        <v>1147</v>
      </c>
    </row>
    <row r="10" customFormat="false" ht="15" hidden="false" customHeight="false" outlineLevel="0" collapsed="false">
      <c r="A10" s="0" t="n">
        <v>9</v>
      </c>
      <c r="B10" s="18" t="n">
        <v>44945</v>
      </c>
      <c r="C10" s="0" t="n">
        <v>2023</v>
      </c>
      <c r="D10" s="0" t="n">
        <v>1</v>
      </c>
      <c r="E10" s="19" t="s">
        <v>204</v>
      </c>
      <c r="F10" s="19" t="s">
        <v>958</v>
      </c>
      <c r="G10" s="19" t="s">
        <v>881</v>
      </c>
      <c r="H10" s="19" t="s">
        <v>362</v>
      </c>
      <c r="I10" s="19" t="s">
        <v>54</v>
      </c>
      <c r="J10" s="19" t="s">
        <v>1155</v>
      </c>
      <c r="K10" s="0" t="n">
        <v>1</v>
      </c>
      <c r="L10" s="20" t="n">
        <v>2318.75</v>
      </c>
      <c r="M10" s="20" t="n">
        <v>1325.46</v>
      </c>
      <c r="N10" s="20" t="n">
        <v>2318.75</v>
      </c>
      <c r="O10" s="20" t="n">
        <v>1325.46</v>
      </c>
      <c r="P10" s="20" t="n">
        <v>993.29</v>
      </c>
      <c r="Q10" s="21" t="n">
        <v>0.4284</v>
      </c>
      <c r="R10" s="19" t="s">
        <v>1149</v>
      </c>
    </row>
    <row r="11" customFormat="false" ht="15" hidden="false" customHeight="false" outlineLevel="0" collapsed="false">
      <c r="A11" s="0" t="n">
        <v>10</v>
      </c>
      <c r="B11" s="18" t="n">
        <v>44948</v>
      </c>
      <c r="C11" s="0" t="n">
        <v>2023</v>
      </c>
      <c r="D11" s="0" t="n">
        <v>1</v>
      </c>
      <c r="E11" s="19" t="s">
        <v>782</v>
      </c>
      <c r="F11" s="19" t="s">
        <v>588</v>
      </c>
      <c r="G11" s="19" t="s">
        <v>1151</v>
      </c>
      <c r="H11" s="19" t="s">
        <v>362</v>
      </c>
      <c r="I11" s="19" t="s">
        <v>35</v>
      </c>
      <c r="J11" s="19" t="s">
        <v>1156</v>
      </c>
      <c r="K11" s="0" t="n">
        <v>3</v>
      </c>
      <c r="L11" s="20" t="n">
        <v>217.18</v>
      </c>
      <c r="M11" s="20" t="n">
        <v>132.19</v>
      </c>
      <c r="N11" s="20" t="n">
        <v>651.54</v>
      </c>
      <c r="O11" s="20" t="n">
        <v>396.57</v>
      </c>
      <c r="P11" s="20" t="n">
        <v>254.97</v>
      </c>
      <c r="Q11" s="21" t="n">
        <v>0.3913</v>
      </c>
      <c r="R11" s="19" t="s">
        <v>1145</v>
      </c>
    </row>
    <row r="12" customFormat="false" ht="15" hidden="false" customHeight="false" outlineLevel="0" collapsed="false">
      <c r="A12" s="0" t="n">
        <v>11</v>
      </c>
      <c r="B12" s="18" t="n">
        <v>44949</v>
      </c>
      <c r="C12" s="0" t="n">
        <v>2023</v>
      </c>
      <c r="D12" s="0" t="n">
        <v>1</v>
      </c>
      <c r="E12" s="19" t="s">
        <v>268</v>
      </c>
      <c r="F12" s="19" t="s">
        <v>698</v>
      </c>
      <c r="G12" s="19" t="s">
        <v>1157</v>
      </c>
      <c r="H12" s="19" t="s">
        <v>333</v>
      </c>
      <c r="I12" s="19" t="s">
        <v>35</v>
      </c>
      <c r="J12" s="19" t="s">
        <v>1158</v>
      </c>
      <c r="K12" s="0" t="n">
        <v>1</v>
      </c>
      <c r="L12" s="20" t="n">
        <v>335.03</v>
      </c>
      <c r="M12" s="20" t="n">
        <v>226.99</v>
      </c>
      <c r="N12" s="20" t="n">
        <v>335.03</v>
      </c>
      <c r="O12" s="20" t="n">
        <v>226.99</v>
      </c>
      <c r="P12" s="20" t="n">
        <v>108.04</v>
      </c>
      <c r="Q12" s="21" t="n">
        <v>0.3225</v>
      </c>
      <c r="R12" s="19" t="s">
        <v>1145</v>
      </c>
    </row>
    <row r="13" customFormat="false" ht="15" hidden="false" customHeight="false" outlineLevel="0" collapsed="false">
      <c r="A13" s="0" t="n">
        <v>12</v>
      </c>
      <c r="B13" s="18" t="n">
        <v>44954</v>
      </c>
      <c r="C13" s="0" t="n">
        <v>2023</v>
      </c>
      <c r="D13" s="0" t="n">
        <v>1</v>
      </c>
      <c r="E13" s="19" t="s">
        <v>685</v>
      </c>
      <c r="F13" s="19" t="s">
        <v>853</v>
      </c>
      <c r="G13" s="19" t="s">
        <v>298</v>
      </c>
      <c r="H13" s="19" t="s">
        <v>362</v>
      </c>
      <c r="I13" s="19" t="s">
        <v>35</v>
      </c>
      <c r="J13" s="19" t="s">
        <v>831</v>
      </c>
      <c r="K13" s="0" t="n">
        <v>2</v>
      </c>
      <c r="L13" s="20" t="n">
        <v>1701.03</v>
      </c>
      <c r="M13" s="20" t="n">
        <v>947.65</v>
      </c>
      <c r="N13" s="20" t="n">
        <v>3402.06</v>
      </c>
      <c r="O13" s="20" t="n">
        <v>1895.3</v>
      </c>
      <c r="P13" s="20" t="n">
        <v>1506.76</v>
      </c>
      <c r="Q13" s="21" t="n">
        <v>0.4429</v>
      </c>
      <c r="R13" s="19" t="s">
        <v>1147</v>
      </c>
    </row>
    <row r="14" customFormat="false" ht="15" hidden="false" customHeight="false" outlineLevel="0" collapsed="false">
      <c r="A14" s="0" t="n">
        <v>13</v>
      </c>
      <c r="B14" s="18" t="n">
        <v>44957</v>
      </c>
      <c r="C14" s="0" t="n">
        <v>2023</v>
      </c>
      <c r="D14" s="0" t="n">
        <v>1</v>
      </c>
      <c r="E14" s="19" t="s">
        <v>782</v>
      </c>
      <c r="F14" s="19" t="s">
        <v>698</v>
      </c>
      <c r="G14" s="19" t="s">
        <v>774</v>
      </c>
      <c r="H14" s="19" t="s">
        <v>362</v>
      </c>
      <c r="I14" s="19" t="s">
        <v>54</v>
      </c>
      <c r="J14" s="19" t="s">
        <v>377</v>
      </c>
      <c r="K14" s="0" t="n">
        <v>2</v>
      </c>
      <c r="L14" s="20" t="n">
        <v>70.62</v>
      </c>
      <c r="M14" s="20" t="n">
        <v>47.7</v>
      </c>
      <c r="N14" s="20" t="n">
        <v>141.24</v>
      </c>
      <c r="O14" s="20" t="n">
        <v>95.4</v>
      </c>
      <c r="P14" s="20" t="n">
        <v>45.84</v>
      </c>
      <c r="Q14" s="21" t="n">
        <v>0.3246</v>
      </c>
      <c r="R14" s="19" t="s">
        <v>1145</v>
      </c>
    </row>
    <row r="15" customFormat="false" ht="15" hidden="false" customHeight="false" outlineLevel="0" collapsed="false">
      <c r="A15" s="0" t="n">
        <v>14</v>
      </c>
      <c r="B15" s="18" t="n">
        <v>44958</v>
      </c>
      <c r="C15" s="0" t="n">
        <v>2023</v>
      </c>
      <c r="D15" s="0" t="n">
        <v>2</v>
      </c>
      <c r="E15" s="19" t="s">
        <v>204</v>
      </c>
      <c r="F15" s="19" t="s">
        <v>698</v>
      </c>
      <c r="G15" s="19" t="s">
        <v>252</v>
      </c>
      <c r="H15" s="19" t="s">
        <v>362</v>
      </c>
      <c r="I15" s="19" t="s">
        <v>35</v>
      </c>
      <c r="J15" s="19" t="s">
        <v>260</v>
      </c>
      <c r="K15" s="0" t="n">
        <v>1</v>
      </c>
      <c r="L15" s="20" t="n">
        <v>156.11</v>
      </c>
      <c r="M15" s="20" t="n">
        <v>103.51</v>
      </c>
      <c r="N15" s="20" t="n">
        <v>156.11</v>
      </c>
      <c r="O15" s="20" t="n">
        <v>103.51</v>
      </c>
      <c r="P15" s="20" t="n">
        <v>52.6</v>
      </c>
      <c r="Q15" s="21" t="n">
        <v>0.3369</v>
      </c>
      <c r="R15" s="19" t="s">
        <v>1145</v>
      </c>
    </row>
    <row r="16" customFormat="false" ht="15" hidden="false" customHeight="false" outlineLevel="0" collapsed="false">
      <c r="A16" s="0" t="n">
        <v>15</v>
      </c>
      <c r="B16" s="18" t="n">
        <v>44958</v>
      </c>
      <c r="C16" s="0" t="n">
        <v>2023</v>
      </c>
      <c r="D16" s="0" t="n">
        <v>2</v>
      </c>
      <c r="E16" s="19" t="s">
        <v>204</v>
      </c>
      <c r="F16" s="19" t="s">
        <v>588</v>
      </c>
      <c r="G16" s="19" t="s">
        <v>1153</v>
      </c>
      <c r="H16" s="19" t="s">
        <v>333</v>
      </c>
      <c r="I16" s="19" t="s">
        <v>35</v>
      </c>
      <c r="J16" s="19" t="s">
        <v>741</v>
      </c>
      <c r="K16" s="0" t="n">
        <v>2</v>
      </c>
      <c r="L16" s="20" t="n">
        <v>714.45</v>
      </c>
      <c r="M16" s="20" t="n">
        <v>514.45</v>
      </c>
      <c r="N16" s="20" t="n">
        <v>1428.9</v>
      </c>
      <c r="O16" s="20" t="n">
        <v>1028.9</v>
      </c>
      <c r="P16" s="20" t="n">
        <v>400</v>
      </c>
      <c r="Q16" s="21" t="n">
        <v>0.2799</v>
      </c>
      <c r="R16" s="19" t="s">
        <v>1149</v>
      </c>
    </row>
    <row r="17" customFormat="false" ht="15" hidden="false" customHeight="false" outlineLevel="0" collapsed="false">
      <c r="A17" s="0" t="n">
        <v>16</v>
      </c>
      <c r="B17" s="18" t="n">
        <v>44959</v>
      </c>
      <c r="C17" s="0" t="n">
        <v>2023</v>
      </c>
      <c r="D17" s="0" t="n">
        <v>2</v>
      </c>
      <c r="E17" s="19" t="s">
        <v>937</v>
      </c>
      <c r="F17" s="19" t="s">
        <v>698</v>
      </c>
      <c r="G17" s="19" t="s">
        <v>173</v>
      </c>
      <c r="H17" s="19" t="s">
        <v>362</v>
      </c>
      <c r="I17" s="19" t="s">
        <v>35</v>
      </c>
      <c r="J17" s="19" t="s">
        <v>1158</v>
      </c>
      <c r="K17" s="0" t="n">
        <v>1</v>
      </c>
      <c r="L17" s="20" t="n">
        <v>199.17</v>
      </c>
      <c r="M17" s="20" t="n">
        <v>130.18</v>
      </c>
      <c r="N17" s="20" t="n">
        <v>199.17</v>
      </c>
      <c r="O17" s="20" t="n">
        <v>130.18</v>
      </c>
      <c r="P17" s="20" t="n">
        <v>68.99</v>
      </c>
      <c r="Q17" s="21" t="n">
        <v>0.3464</v>
      </c>
      <c r="R17" s="19" t="s">
        <v>1145</v>
      </c>
    </row>
    <row r="18" customFormat="false" ht="15" hidden="false" customHeight="false" outlineLevel="0" collapsed="false">
      <c r="A18" s="0" t="n">
        <v>17</v>
      </c>
      <c r="B18" s="18" t="n">
        <v>44962</v>
      </c>
      <c r="C18" s="0" t="n">
        <v>2023</v>
      </c>
      <c r="D18" s="0" t="n">
        <v>2</v>
      </c>
      <c r="E18" s="19" t="s">
        <v>268</v>
      </c>
      <c r="F18" s="19" t="s">
        <v>958</v>
      </c>
      <c r="G18" s="19" t="s">
        <v>572</v>
      </c>
      <c r="H18" s="19" t="s">
        <v>362</v>
      </c>
      <c r="I18" s="19" t="s">
        <v>35</v>
      </c>
      <c r="J18" s="19" t="s">
        <v>807</v>
      </c>
      <c r="K18" s="0" t="n">
        <v>1</v>
      </c>
      <c r="L18" s="20" t="n">
        <v>4407.58</v>
      </c>
      <c r="M18" s="20" t="n">
        <v>2677.27</v>
      </c>
      <c r="N18" s="20" t="n">
        <v>4407.58</v>
      </c>
      <c r="O18" s="20" t="n">
        <v>2677.27</v>
      </c>
      <c r="P18" s="20" t="n">
        <v>1730.31</v>
      </c>
      <c r="Q18" s="21" t="n">
        <v>0.3926</v>
      </c>
      <c r="R18" s="19" t="s">
        <v>1147</v>
      </c>
    </row>
    <row r="19" customFormat="false" ht="15" hidden="false" customHeight="false" outlineLevel="0" collapsed="false">
      <c r="A19" s="0" t="n">
        <v>18</v>
      </c>
      <c r="B19" s="18" t="n">
        <v>44964</v>
      </c>
      <c r="C19" s="0" t="n">
        <v>2023</v>
      </c>
      <c r="D19" s="0" t="n">
        <v>2</v>
      </c>
      <c r="E19" s="19" t="s">
        <v>937</v>
      </c>
      <c r="F19" s="19" t="s">
        <v>853</v>
      </c>
      <c r="G19" s="19" t="s">
        <v>365</v>
      </c>
      <c r="H19" s="19" t="s">
        <v>362</v>
      </c>
      <c r="I19" s="19" t="s">
        <v>35</v>
      </c>
      <c r="J19" s="19" t="s">
        <v>180</v>
      </c>
      <c r="K19" s="0" t="n">
        <v>1</v>
      </c>
      <c r="L19" s="20" t="n">
        <v>1418.18</v>
      </c>
      <c r="M19" s="20" t="n">
        <v>1053.14</v>
      </c>
      <c r="N19" s="20" t="n">
        <v>1418.18</v>
      </c>
      <c r="O19" s="20" t="n">
        <v>1053.14</v>
      </c>
      <c r="P19" s="20" t="n">
        <v>365.04</v>
      </c>
      <c r="Q19" s="21" t="n">
        <v>0.2574</v>
      </c>
      <c r="R19" s="19" t="s">
        <v>1149</v>
      </c>
    </row>
    <row r="20" customFormat="false" ht="15" hidden="false" customHeight="false" outlineLevel="0" collapsed="false">
      <c r="A20" s="0" t="n">
        <v>19</v>
      </c>
      <c r="B20" s="18" t="n">
        <v>44965</v>
      </c>
      <c r="C20" s="0" t="n">
        <v>2023</v>
      </c>
      <c r="D20" s="0" t="n">
        <v>2</v>
      </c>
      <c r="E20" s="19" t="s">
        <v>782</v>
      </c>
      <c r="F20" s="19" t="s">
        <v>958</v>
      </c>
      <c r="G20" s="19" t="s">
        <v>1150</v>
      </c>
      <c r="H20" s="19" t="s">
        <v>362</v>
      </c>
      <c r="I20" s="19" t="s">
        <v>35</v>
      </c>
      <c r="J20" s="19" t="s">
        <v>716</v>
      </c>
      <c r="K20" s="0" t="n">
        <v>2</v>
      </c>
      <c r="L20" s="20" t="n">
        <v>4310.27</v>
      </c>
      <c r="M20" s="20" t="n">
        <v>2778.3</v>
      </c>
      <c r="N20" s="20" t="n">
        <v>8620.54</v>
      </c>
      <c r="O20" s="20" t="n">
        <v>5556.6</v>
      </c>
      <c r="P20" s="20" t="n">
        <v>3063.94</v>
      </c>
      <c r="Q20" s="21" t="n">
        <v>0.3554</v>
      </c>
      <c r="R20" s="19" t="s">
        <v>1147</v>
      </c>
    </row>
    <row r="21" customFormat="false" ht="15" hidden="false" customHeight="false" outlineLevel="0" collapsed="false">
      <c r="A21" s="0" t="n">
        <v>20</v>
      </c>
      <c r="B21" s="18" t="n">
        <v>44967</v>
      </c>
      <c r="C21" s="0" t="n">
        <v>2023</v>
      </c>
      <c r="D21" s="0" t="n">
        <v>2</v>
      </c>
      <c r="E21" s="19" t="s">
        <v>782</v>
      </c>
      <c r="F21" s="19" t="s">
        <v>958</v>
      </c>
      <c r="G21" s="19" t="s">
        <v>1150</v>
      </c>
      <c r="H21" s="19" t="s">
        <v>333</v>
      </c>
      <c r="I21" s="19" t="s">
        <v>35</v>
      </c>
      <c r="J21" s="19" t="s">
        <v>1048</v>
      </c>
      <c r="K21" s="0" t="n">
        <v>1</v>
      </c>
      <c r="L21" s="20" t="n">
        <v>1453.24</v>
      </c>
      <c r="M21" s="20" t="n">
        <v>800.58</v>
      </c>
      <c r="N21" s="20" t="n">
        <v>1453.24</v>
      </c>
      <c r="O21" s="20" t="n">
        <v>800.58</v>
      </c>
      <c r="P21" s="20" t="n">
        <v>652.66</v>
      </c>
      <c r="Q21" s="21" t="n">
        <v>0.4491</v>
      </c>
      <c r="R21" s="19" t="s">
        <v>1149</v>
      </c>
    </row>
    <row r="22" customFormat="false" ht="15" hidden="false" customHeight="false" outlineLevel="0" collapsed="false">
      <c r="A22" s="0" t="n">
        <v>21</v>
      </c>
      <c r="B22" s="18" t="n">
        <v>44969</v>
      </c>
      <c r="C22" s="0" t="n">
        <v>2023</v>
      </c>
      <c r="D22" s="0" t="n">
        <v>2</v>
      </c>
      <c r="E22" s="19" t="s">
        <v>204</v>
      </c>
      <c r="F22" s="19" t="s">
        <v>853</v>
      </c>
      <c r="G22" s="19" t="s">
        <v>298</v>
      </c>
      <c r="H22" s="19" t="s">
        <v>333</v>
      </c>
      <c r="I22" s="19" t="s">
        <v>35</v>
      </c>
      <c r="J22" s="19" t="s">
        <v>1054</v>
      </c>
      <c r="K22" s="0" t="n">
        <v>1</v>
      </c>
      <c r="L22" s="20" t="n">
        <v>1688.24</v>
      </c>
      <c r="M22" s="20" t="n">
        <v>1191.83</v>
      </c>
      <c r="N22" s="20" t="n">
        <v>1688.24</v>
      </c>
      <c r="O22" s="20" t="n">
        <v>1191.83</v>
      </c>
      <c r="P22" s="20" t="n">
        <v>496.41</v>
      </c>
      <c r="Q22" s="21" t="n">
        <v>0.294</v>
      </c>
      <c r="R22" s="19" t="s">
        <v>1149</v>
      </c>
    </row>
    <row r="23" customFormat="false" ht="15" hidden="false" customHeight="false" outlineLevel="0" collapsed="false">
      <c r="A23" s="0" t="n">
        <v>22</v>
      </c>
      <c r="B23" s="18" t="n">
        <v>44973</v>
      </c>
      <c r="C23" s="0" t="n">
        <v>2023</v>
      </c>
      <c r="D23" s="0" t="n">
        <v>2</v>
      </c>
      <c r="E23" s="19" t="s">
        <v>268</v>
      </c>
      <c r="F23" s="19" t="s">
        <v>960</v>
      </c>
      <c r="G23" s="19" t="s">
        <v>217</v>
      </c>
      <c r="H23" s="19" t="s">
        <v>362</v>
      </c>
      <c r="I23" s="19" t="s">
        <v>35</v>
      </c>
      <c r="J23" s="19" t="s">
        <v>1158</v>
      </c>
      <c r="K23" s="0" t="n">
        <v>1</v>
      </c>
      <c r="L23" s="20" t="n">
        <v>5725.45</v>
      </c>
      <c r="M23" s="20" t="n">
        <v>3259.77</v>
      </c>
      <c r="N23" s="20" t="n">
        <v>5725.45</v>
      </c>
      <c r="O23" s="20" t="n">
        <v>3259.77</v>
      </c>
      <c r="P23" s="20" t="n">
        <v>2465.68</v>
      </c>
      <c r="Q23" s="21" t="n">
        <v>0.4307</v>
      </c>
      <c r="R23" s="19" t="s">
        <v>1147</v>
      </c>
    </row>
    <row r="24" customFormat="false" ht="15" hidden="false" customHeight="false" outlineLevel="0" collapsed="false">
      <c r="A24" s="0" t="n">
        <v>23</v>
      </c>
      <c r="B24" s="18" t="n">
        <v>44975</v>
      </c>
      <c r="C24" s="0" t="n">
        <v>2023</v>
      </c>
      <c r="D24" s="0" t="n">
        <v>2</v>
      </c>
      <c r="E24" s="19" t="s">
        <v>782</v>
      </c>
      <c r="F24" s="19" t="s">
        <v>698</v>
      </c>
      <c r="G24" s="19" t="s">
        <v>173</v>
      </c>
      <c r="H24" s="19" t="s">
        <v>362</v>
      </c>
      <c r="I24" s="19" t="s">
        <v>35</v>
      </c>
      <c r="J24" s="19" t="s">
        <v>260</v>
      </c>
      <c r="K24" s="0" t="n">
        <v>2</v>
      </c>
      <c r="L24" s="20" t="n">
        <v>277.2</v>
      </c>
      <c r="M24" s="20" t="n">
        <v>159.53</v>
      </c>
      <c r="N24" s="20" t="n">
        <v>554.4</v>
      </c>
      <c r="O24" s="20" t="n">
        <v>319.06</v>
      </c>
      <c r="P24" s="20" t="n">
        <v>235.34</v>
      </c>
      <c r="Q24" s="21" t="n">
        <v>0.4245</v>
      </c>
      <c r="R24" s="19" t="s">
        <v>1145</v>
      </c>
    </row>
    <row r="25" customFormat="false" ht="15" hidden="false" customHeight="false" outlineLevel="0" collapsed="false">
      <c r="A25" s="0" t="n">
        <v>24</v>
      </c>
      <c r="B25" s="18" t="n">
        <v>44987</v>
      </c>
      <c r="C25" s="0" t="n">
        <v>2023</v>
      </c>
      <c r="D25" s="0" t="n">
        <v>3</v>
      </c>
      <c r="E25" s="19" t="s">
        <v>782</v>
      </c>
      <c r="F25" s="19" t="s">
        <v>853</v>
      </c>
      <c r="G25" s="19" t="s">
        <v>365</v>
      </c>
      <c r="H25" s="19" t="s">
        <v>362</v>
      </c>
      <c r="I25" s="19" t="s">
        <v>35</v>
      </c>
      <c r="J25" s="19" t="s">
        <v>741</v>
      </c>
      <c r="K25" s="0" t="n">
        <v>1</v>
      </c>
      <c r="L25" s="20" t="n">
        <v>1060.84</v>
      </c>
      <c r="M25" s="20" t="n">
        <v>774.32</v>
      </c>
      <c r="N25" s="20" t="n">
        <v>1060.84</v>
      </c>
      <c r="O25" s="20" t="n">
        <v>774.32</v>
      </c>
      <c r="P25" s="20" t="n">
        <v>286.52</v>
      </c>
      <c r="Q25" s="21" t="n">
        <v>0.2701</v>
      </c>
      <c r="R25" s="19" t="s">
        <v>1149</v>
      </c>
    </row>
    <row r="26" customFormat="false" ht="15" hidden="false" customHeight="false" outlineLevel="0" collapsed="false">
      <c r="A26" s="0" t="n">
        <v>25</v>
      </c>
      <c r="B26" s="18" t="n">
        <v>44988</v>
      </c>
      <c r="C26" s="0" t="n">
        <v>2023</v>
      </c>
      <c r="D26" s="0" t="n">
        <v>3</v>
      </c>
      <c r="E26" s="19" t="s">
        <v>937</v>
      </c>
      <c r="F26" s="19" t="s">
        <v>853</v>
      </c>
      <c r="G26" s="19" t="s">
        <v>1148</v>
      </c>
      <c r="H26" s="19" t="s">
        <v>362</v>
      </c>
      <c r="I26" s="19" t="s">
        <v>35</v>
      </c>
      <c r="J26" s="19" t="s">
        <v>377</v>
      </c>
      <c r="K26" s="0" t="n">
        <v>1</v>
      </c>
      <c r="L26" s="20" t="n">
        <v>2205.13</v>
      </c>
      <c r="M26" s="20" t="n">
        <v>1488.89</v>
      </c>
      <c r="N26" s="20" t="n">
        <v>2205.13</v>
      </c>
      <c r="O26" s="20" t="n">
        <v>1488.89</v>
      </c>
      <c r="P26" s="20" t="n">
        <v>716.24</v>
      </c>
      <c r="Q26" s="21" t="n">
        <v>0.3248</v>
      </c>
      <c r="R26" s="19" t="s">
        <v>1149</v>
      </c>
    </row>
    <row r="27" customFormat="false" ht="15" hidden="false" customHeight="false" outlineLevel="0" collapsed="false">
      <c r="A27" s="0" t="n">
        <v>26</v>
      </c>
      <c r="B27" s="18" t="n">
        <v>44988</v>
      </c>
      <c r="C27" s="0" t="n">
        <v>2023</v>
      </c>
      <c r="D27" s="0" t="n">
        <v>3</v>
      </c>
      <c r="E27" s="19" t="s">
        <v>204</v>
      </c>
      <c r="F27" s="19" t="s">
        <v>958</v>
      </c>
      <c r="G27" s="19" t="s">
        <v>902</v>
      </c>
      <c r="H27" s="19" t="s">
        <v>333</v>
      </c>
      <c r="I27" s="19" t="s">
        <v>54</v>
      </c>
      <c r="J27" s="19" t="s">
        <v>586</v>
      </c>
      <c r="K27" s="0" t="n">
        <v>1</v>
      </c>
      <c r="L27" s="20" t="n">
        <v>2987.74</v>
      </c>
      <c r="M27" s="20" t="n">
        <v>2116.65</v>
      </c>
      <c r="N27" s="20" t="n">
        <v>2987.74</v>
      </c>
      <c r="O27" s="20" t="n">
        <v>2116.65</v>
      </c>
      <c r="P27" s="20" t="n">
        <v>871.09</v>
      </c>
      <c r="Q27" s="21" t="n">
        <v>0.2916</v>
      </c>
      <c r="R27" s="19" t="s">
        <v>1149</v>
      </c>
    </row>
    <row r="28" customFormat="false" ht="15" hidden="false" customHeight="false" outlineLevel="0" collapsed="false">
      <c r="A28" s="0" t="n">
        <v>27</v>
      </c>
      <c r="B28" s="18" t="n">
        <v>44990</v>
      </c>
      <c r="C28" s="0" t="n">
        <v>2023</v>
      </c>
      <c r="D28" s="0" t="n">
        <v>3</v>
      </c>
      <c r="E28" s="19" t="s">
        <v>782</v>
      </c>
      <c r="F28" s="19" t="s">
        <v>958</v>
      </c>
      <c r="G28" s="19" t="s">
        <v>572</v>
      </c>
      <c r="H28" s="19" t="s">
        <v>362</v>
      </c>
      <c r="I28" s="19" t="s">
        <v>35</v>
      </c>
      <c r="J28" s="19" t="s">
        <v>1155</v>
      </c>
      <c r="K28" s="0" t="n">
        <v>1</v>
      </c>
      <c r="L28" s="20" t="n">
        <v>2153.98</v>
      </c>
      <c r="M28" s="20" t="n">
        <v>1465.3</v>
      </c>
      <c r="N28" s="20" t="n">
        <v>2153.98</v>
      </c>
      <c r="O28" s="20" t="n">
        <v>1465.3</v>
      </c>
      <c r="P28" s="20" t="n">
        <v>688.68</v>
      </c>
      <c r="Q28" s="21" t="n">
        <v>0.3197</v>
      </c>
      <c r="R28" s="19" t="s">
        <v>1149</v>
      </c>
    </row>
    <row r="29" customFormat="false" ht="15" hidden="false" customHeight="false" outlineLevel="0" collapsed="false">
      <c r="A29" s="0" t="n">
        <v>28</v>
      </c>
      <c r="B29" s="18" t="n">
        <v>44991</v>
      </c>
      <c r="C29" s="0" t="n">
        <v>2023</v>
      </c>
      <c r="D29" s="0" t="n">
        <v>3</v>
      </c>
      <c r="E29" s="19" t="s">
        <v>268</v>
      </c>
      <c r="F29" s="19" t="s">
        <v>588</v>
      </c>
      <c r="G29" s="19" t="s">
        <v>1159</v>
      </c>
      <c r="H29" s="19" t="s">
        <v>362</v>
      </c>
      <c r="I29" s="19" t="s">
        <v>35</v>
      </c>
      <c r="J29" s="19" t="s">
        <v>1048</v>
      </c>
      <c r="K29" s="0" t="n">
        <v>2</v>
      </c>
      <c r="L29" s="20" t="n">
        <v>413.33</v>
      </c>
      <c r="M29" s="20" t="n">
        <v>275.48</v>
      </c>
      <c r="N29" s="20" t="n">
        <v>826.66</v>
      </c>
      <c r="O29" s="20" t="n">
        <v>550.96</v>
      </c>
      <c r="P29" s="20" t="n">
        <v>275.7</v>
      </c>
      <c r="Q29" s="21" t="n">
        <v>0.3335</v>
      </c>
      <c r="R29" s="19" t="s">
        <v>1145</v>
      </c>
    </row>
    <row r="30" customFormat="false" ht="15" hidden="false" customHeight="false" outlineLevel="0" collapsed="false">
      <c r="A30" s="0" t="n">
        <v>29</v>
      </c>
      <c r="B30" s="18" t="n">
        <v>44992</v>
      </c>
      <c r="C30" s="0" t="n">
        <v>2023</v>
      </c>
      <c r="D30" s="0" t="n">
        <v>3</v>
      </c>
      <c r="E30" s="19" t="s">
        <v>782</v>
      </c>
      <c r="F30" s="19" t="s">
        <v>958</v>
      </c>
      <c r="G30" s="19" t="s">
        <v>881</v>
      </c>
      <c r="H30" s="19" t="s">
        <v>333</v>
      </c>
      <c r="I30" s="19" t="s">
        <v>35</v>
      </c>
      <c r="J30" s="19" t="s">
        <v>1067</v>
      </c>
      <c r="K30" s="0" t="n">
        <v>2</v>
      </c>
      <c r="L30" s="20" t="n">
        <v>3831.79</v>
      </c>
      <c r="M30" s="20" t="n">
        <v>2229.4</v>
      </c>
      <c r="N30" s="20" t="n">
        <v>7663.58</v>
      </c>
      <c r="O30" s="20" t="n">
        <v>4458.8</v>
      </c>
      <c r="P30" s="20" t="n">
        <v>3204.78</v>
      </c>
      <c r="Q30" s="21" t="n">
        <v>0.4182</v>
      </c>
      <c r="R30" s="19" t="s">
        <v>1147</v>
      </c>
    </row>
    <row r="31" customFormat="false" ht="15" hidden="false" customHeight="false" outlineLevel="0" collapsed="false">
      <c r="A31" s="0" t="n">
        <v>30</v>
      </c>
      <c r="B31" s="18" t="n">
        <v>44993</v>
      </c>
      <c r="C31" s="0" t="n">
        <v>2023</v>
      </c>
      <c r="D31" s="0" t="n">
        <v>3</v>
      </c>
      <c r="E31" s="19" t="s">
        <v>782</v>
      </c>
      <c r="F31" s="19" t="s">
        <v>588</v>
      </c>
      <c r="G31" s="19" t="s">
        <v>1152</v>
      </c>
      <c r="H31" s="19" t="s">
        <v>362</v>
      </c>
      <c r="I31" s="19" t="s">
        <v>35</v>
      </c>
      <c r="J31" s="19" t="s">
        <v>1048</v>
      </c>
      <c r="K31" s="0" t="n">
        <v>1</v>
      </c>
      <c r="L31" s="20" t="n">
        <v>846.44</v>
      </c>
      <c r="M31" s="20" t="n">
        <v>589.8</v>
      </c>
      <c r="N31" s="20" t="n">
        <v>846.44</v>
      </c>
      <c r="O31" s="20" t="n">
        <v>589.8</v>
      </c>
      <c r="P31" s="20" t="n">
        <v>256.64</v>
      </c>
      <c r="Q31" s="21" t="n">
        <v>0.3032</v>
      </c>
      <c r="R31" s="19" t="s">
        <v>1145</v>
      </c>
    </row>
    <row r="32" customFormat="false" ht="15" hidden="false" customHeight="false" outlineLevel="0" collapsed="false">
      <c r="A32" s="0" t="n">
        <v>31</v>
      </c>
      <c r="B32" s="18" t="n">
        <v>44995</v>
      </c>
      <c r="C32" s="0" t="n">
        <v>2023</v>
      </c>
      <c r="D32" s="0" t="n">
        <v>3</v>
      </c>
      <c r="E32" s="19" t="s">
        <v>685</v>
      </c>
      <c r="F32" s="19" t="s">
        <v>588</v>
      </c>
      <c r="G32" s="19" t="s">
        <v>1159</v>
      </c>
      <c r="H32" s="19" t="s">
        <v>362</v>
      </c>
      <c r="I32" s="19" t="s">
        <v>35</v>
      </c>
      <c r="J32" s="19" t="s">
        <v>741</v>
      </c>
      <c r="K32" s="0" t="n">
        <v>2</v>
      </c>
      <c r="L32" s="20" t="n">
        <v>571.53</v>
      </c>
      <c r="M32" s="20" t="n">
        <v>379.29</v>
      </c>
      <c r="N32" s="20" t="n">
        <v>1143.06</v>
      </c>
      <c r="O32" s="20" t="n">
        <v>758.58</v>
      </c>
      <c r="P32" s="20" t="n">
        <v>384.48</v>
      </c>
      <c r="Q32" s="21" t="n">
        <v>0.3364</v>
      </c>
      <c r="R32" s="19" t="s">
        <v>1149</v>
      </c>
    </row>
    <row r="33" customFormat="false" ht="15" hidden="false" customHeight="false" outlineLevel="0" collapsed="false">
      <c r="A33" s="0" t="n">
        <v>32</v>
      </c>
      <c r="B33" s="18" t="n">
        <v>44995</v>
      </c>
      <c r="C33" s="0" t="n">
        <v>2023</v>
      </c>
      <c r="D33" s="0" t="n">
        <v>3</v>
      </c>
      <c r="E33" s="19" t="s">
        <v>782</v>
      </c>
      <c r="F33" s="19" t="s">
        <v>588</v>
      </c>
      <c r="G33" s="19" t="s">
        <v>1152</v>
      </c>
      <c r="H33" s="19" t="s">
        <v>362</v>
      </c>
      <c r="I33" s="19" t="s">
        <v>35</v>
      </c>
      <c r="J33" s="19" t="s">
        <v>586</v>
      </c>
      <c r="K33" s="0" t="n">
        <v>1</v>
      </c>
      <c r="L33" s="20" t="n">
        <v>155.21</v>
      </c>
      <c r="M33" s="20" t="n">
        <v>120.35</v>
      </c>
      <c r="N33" s="20" t="n">
        <v>155.21</v>
      </c>
      <c r="O33" s="20" t="n">
        <v>120.35</v>
      </c>
      <c r="P33" s="20" t="n">
        <v>34.86</v>
      </c>
      <c r="Q33" s="21" t="n">
        <v>0.2246</v>
      </c>
      <c r="R33" s="19" t="s">
        <v>1145</v>
      </c>
    </row>
    <row r="34" customFormat="false" ht="15" hidden="false" customHeight="false" outlineLevel="0" collapsed="false">
      <c r="A34" s="0" t="n">
        <v>33</v>
      </c>
      <c r="B34" s="18" t="n">
        <v>44996</v>
      </c>
      <c r="C34" s="0" t="n">
        <v>2023</v>
      </c>
      <c r="D34" s="0" t="n">
        <v>3</v>
      </c>
      <c r="E34" s="19" t="s">
        <v>937</v>
      </c>
      <c r="F34" s="19" t="s">
        <v>588</v>
      </c>
      <c r="G34" s="19" t="s">
        <v>1153</v>
      </c>
      <c r="H34" s="19" t="s">
        <v>333</v>
      </c>
      <c r="I34" s="19" t="s">
        <v>35</v>
      </c>
      <c r="J34" s="19" t="s">
        <v>1156</v>
      </c>
      <c r="K34" s="0" t="n">
        <v>1</v>
      </c>
      <c r="L34" s="20" t="n">
        <v>200.08</v>
      </c>
      <c r="M34" s="20" t="n">
        <v>126.37</v>
      </c>
      <c r="N34" s="20" t="n">
        <v>200.08</v>
      </c>
      <c r="O34" s="20" t="n">
        <v>126.37</v>
      </c>
      <c r="P34" s="20" t="n">
        <v>73.71</v>
      </c>
      <c r="Q34" s="21" t="n">
        <v>0.3684</v>
      </c>
      <c r="R34" s="19" t="s">
        <v>1145</v>
      </c>
    </row>
    <row r="35" customFormat="false" ht="15" hidden="false" customHeight="false" outlineLevel="0" collapsed="false">
      <c r="A35" s="0" t="n">
        <v>34</v>
      </c>
      <c r="B35" s="18" t="n">
        <v>44996</v>
      </c>
      <c r="C35" s="0" t="n">
        <v>2023</v>
      </c>
      <c r="D35" s="0" t="n">
        <v>3</v>
      </c>
      <c r="E35" s="19" t="s">
        <v>782</v>
      </c>
      <c r="F35" s="19" t="s">
        <v>958</v>
      </c>
      <c r="G35" s="19" t="s">
        <v>881</v>
      </c>
      <c r="H35" s="19" t="s">
        <v>362</v>
      </c>
      <c r="I35" s="19" t="s">
        <v>35</v>
      </c>
      <c r="J35" s="19" t="s">
        <v>377</v>
      </c>
      <c r="K35" s="0" t="n">
        <v>1</v>
      </c>
      <c r="L35" s="20" t="n">
        <v>2195.92</v>
      </c>
      <c r="M35" s="20" t="n">
        <v>1566.94</v>
      </c>
      <c r="N35" s="20" t="n">
        <v>2195.92</v>
      </c>
      <c r="O35" s="20" t="n">
        <v>1566.94</v>
      </c>
      <c r="P35" s="20" t="n">
        <v>628.98</v>
      </c>
      <c r="Q35" s="21" t="n">
        <v>0.2864</v>
      </c>
      <c r="R35" s="19" t="s">
        <v>1149</v>
      </c>
    </row>
    <row r="36" customFormat="false" ht="15" hidden="false" customHeight="false" outlineLevel="0" collapsed="false">
      <c r="A36" s="0" t="n">
        <v>35</v>
      </c>
      <c r="B36" s="18" t="n">
        <v>44997</v>
      </c>
      <c r="C36" s="0" t="n">
        <v>2023</v>
      </c>
      <c r="D36" s="0" t="n">
        <v>3</v>
      </c>
      <c r="E36" s="19" t="s">
        <v>782</v>
      </c>
      <c r="F36" s="19" t="s">
        <v>698</v>
      </c>
      <c r="G36" s="19" t="s">
        <v>173</v>
      </c>
      <c r="H36" s="19" t="s">
        <v>362</v>
      </c>
      <c r="I36" s="19" t="s">
        <v>35</v>
      </c>
      <c r="J36" s="19" t="s">
        <v>377</v>
      </c>
      <c r="K36" s="0" t="n">
        <v>1</v>
      </c>
      <c r="L36" s="20" t="n">
        <v>155.28</v>
      </c>
      <c r="M36" s="20" t="n">
        <v>101.51</v>
      </c>
      <c r="N36" s="20" t="n">
        <v>155.28</v>
      </c>
      <c r="O36" s="20" t="n">
        <v>101.51</v>
      </c>
      <c r="P36" s="20" t="n">
        <v>53.77</v>
      </c>
      <c r="Q36" s="21" t="n">
        <v>0.3463</v>
      </c>
      <c r="R36" s="19" t="s">
        <v>1145</v>
      </c>
    </row>
    <row r="37" customFormat="false" ht="15" hidden="false" customHeight="false" outlineLevel="0" collapsed="false">
      <c r="A37" s="0" t="n">
        <v>36</v>
      </c>
      <c r="B37" s="18" t="n">
        <v>44999</v>
      </c>
      <c r="C37" s="0" t="n">
        <v>2023</v>
      </c>
      <c r="D37" s="0" t="n">
        <v>3</v>
      </c>
      <c r="E37" s="19" t="s">
        <v>204</v>
      </c>
      <c r="F37" s="19" t="s">
        <v>958</v>
      </c>
      <c r="G37" s="19" t="s">
        <v>572</v>
      </c>
      <c r="H37" s="19" t="s">
        <v>333</v>
      </c>
      <c r="I37" s="19" t="s">
        <v>35</v>
      </c>
      <c r="J37" s="19" t="s">
        <v>377</v>
      </c>
      <c r="K37" s="0" t="n">
        <v>1</v>
      </c>
      <c r="L37" s="20" t="n">
        <v>2669.38</v>
      </c>
      <c r="M37" s="20" t="n">
        <v>1984.57</v>
      </c>
      <c r="N37" s="20" t="n">
        <v>2669.38</v>
      </c>
      <c r="O37" s="20" t="n">
        <v>1984.57</v>
      </c>
      <c r="P37" s="20" t="n">
        <v>684.81</v>
      </c>
      <c r="Q37" s="21" t="n">
        <v>0.2565</v>
      </c>
      <c r="R37" s="19" t="s">
        <v>1149</v>
      </c>
    </row>
    <row r="38" customFormat="false" ht="15" hidden="false" customHeight="false" outlineLevel="0" collapsed="false">
      <c r="A38" s="0" t="n">
        <v>37</v>
      </c>
      <c r="B38" s="18" t="n">
        <v>45001</v>
      </c>
      <c r="C38" s="0" t="n">
        <v>2023</v>
      </c>
      <c r="D38" s="0" t="n">
        <v>3</v>
      </c>
      <c r="E38" s="19" t="s">
        <v>782</v>
      </c>
      <c r="F38" s="19" t="s">
        <v>853</v>
      </c>
      <c r="G38" s="19" t="s">
        <v>1148</v>
      </c>
      <c r="H38" s="19" t="s">
        <v>362</v>
      </c>
      <c r="I38" s="19" t="s">
        <v>35</v>
      </c>
      <c r="J38" s="19" t="s">
        <v>1067</v>
      </c>
      <c r="K38" s="0" t="n">
        <v>1</v>
      </c>
      <c r="L38" s="20" t="n">
        <v>1525.7</v>
      </c>
      <c r="M38" s="20" t="n">
        <v>902.83</v>
      </c>
      <c r="N38" s="20" t="n">
        <v>1525.7</v>
      </c>
      <c r="O38" s="20" t="n">
        <v>902.83</v>
      </c>
      <c r="P38" s="20" t="n">
        <v>622.87</v>
      </c>
      <c r="Q38" s="21" t="n">
        <v>0.4083</v>
      </c>
      <c r="R38" s="19" t="s">
        <v>1149</v>
      </c>
    </row>
    <row r="39" customFormat="false" ht="15" hidden="false" customHeight="false" outlineLevel="0" collapsed="false">
      <c r="A39" s="0" t="n">
        <v>38</v>
      </c>
      <c r="B39" s="18" t="n">
        <v>45002</v>
      </c>
      <c r="C39" s="0" t="n">
        <v>2023</v>
      </c>
      <c r="D39" s="0" t="n">
        <v>3</v>
      </c>
      <c r="E39" s="19" t="s">
        <v>268</v>
      </c>
      <c r="F39" s="19" t="s">
        <v>958</v>
      </c>
      <c r="G39" s="19" t="s">
        <v>881</v>
      </c>
      <c r="H39" s="19" t="s">
        <v>362</v>
      </c>
      <c r="I39" s="19" t="s">
        <v>35</v>
      </c>
      <c r="J39" s="19" t="s">
        <v>1156</v>
      </c>
      <c r="K39" s="0" t="n">
        <v>1</v>
      </c>
      <c r="L39" s="20" t="n">
        <v>4211.08</v>
      </c>
      <c r="M39" s="20" t="n">
        <v>2922.4</v>
      </c>
      <c r="N39" s="20" t="n">
        <v>4211.08</v>
      </c>
      <c r="O39" s="20" t="n">
        <v>2922.4</v>
      </c>
      <c r="P39" s="20" t="n">
        <v>1288.68</v>
      </c>
      <c r="Q39" s="21" t="n">
        <v>0.306</v>
      </c>
      <c r="R39" s="19" t="s">
        <v>1147</v>
      </c>
    </row>
    <row r="40" customFormat="false" ht="15" hidden="false" customHeight="false" outlineLevel="0" collapsed="false">
      <c r="A40" s="0" t="n">
        <v>39</v>
      </c>
      <c r="B40" s="18" t="n">
        <v>45003</v>
      </c>
      <c r="C40" s="0" t="n">
        <v>2023</v>
      </c>
      <c r="D40" s="0" t="n">
        <v>3</v>
      </c>
      <c r="E40" s="19" t="s">
        <v>268</v>
      </c>
      <c r="F40" s="19" t="s">
        <v>958</v>
      </c>
      <c r="G40" s="19" t="s">
        <v>1150</v>
      </c>
      <c r="H40" s="19" t="s">
        <v>333</v>
      </c>
      <c r="I40" s="19" t="s">
        <v>35</v>
      </c>
      <c r="J40" s="19" t="s">
        <v>586</v>
      </c>
      <c r="K40" s="0" t="n">
        <v>2</v>
      </c>
      <c r="L40" s="20" t="n">
        <v>2432.17</v>
      </c>
      <c r="M40" s="20" t="n">
        <v>1620.28</v>
      </c>
      <c r="N40" s="20" t="n">
        <v>4864.34</v>
      </c>
      <c r="O40" s="20" t="n">
        <v>3240.56</v>
      </c>
      <c r="P40" s="20" t="n">
        <v>1623.78</v>
      </c>
      <c r="Q40" s="21" t="n">
        <v>0.3338</v>
      </c>
      <c r="R40" s="19" t="s">
        <v>1147</v>
      </c>
    </row>
    <row r="41" customFormat="false" ht="15" hidden="false" customHeight="false" outlineLevel="0" collapsed="false">
      <c r="A41" s="0" t="n">
        <v>40</v>
      </c>
      <c r="B41" s="18" t="n">
        <v>45004</v>
      </c>
      <c r="C41" s="0" t="n">
        <v>2023</v>
      </c>
      <c r="D41" s="0" t="n">
        <v>3</v>
      </c>
      <c r="E41" s="19" t="s">
        <v>685</v>
      </c>
      <c r="F41" s="19" t="s">
        <v>958</v>
      </c>
      <c r="G41" s="19" t="s">
        <v>902</v>
      </c>
      <c r="H41" s="19" t="s">
        <v>333</v>
      </c>
      <c r="I41" s="19" t="s">
        <v>35</v>
      </c>
      <c r="J41" s="19" t="s">
        <v>831</v>
      </c>
      <c r="K41" s="0" t="n">
        <v>2</v>
      </c>
      <c r="L41" s="20" t="n">
        <v>2348.44</v>
      </c>
      <c r="M41" s="20" t="n">
        <v>1623.9</v>
      </c>
      <c r="N41" s="20" t="n">
        <v>4696.88</v>
      </c>
      <c r="O41" s="20" t="n">
        <v>3247.8</v>
      </c>
      <c r="P41" s="20" t="n">
        <v>1449.08</v>
      </c>
      <c r="Q41" s="21" t="n">
        <v>0.3085</v>
      </c>
      <c r="R41" s="19" t="s">
        <v>1147</v>
      </c>
    </row>
    <row r="42" customFormat="false" ht="15" hidden="false" customHeight="false" outlineLevel="0" collapsed="false">
      <c r="A42" s="0" t="n">
        <v>41</v>
      </c>
      <c r="B42" s="18" t="n">
        <v>45004</v>
      </c>
      <c r="C42" s="0" t="n">
        <v>2023</v>
      </c>
      <c r="D42" s="0" t="n">
        <v>3</v>
      </c>
      <c r="E42" s="19" t="s">
        <v>782</v>
      </c>
      <c r="F42" s="19" t="s">
        <v>960</v>
      </c>
      <c r="G42" s="19" t="s">
        <v>1154</v>
      </c>
      <c r="H42" s="19" t="s">
        <v>333</v>
      </c>
      <c r="I42" s="19" t="s">
        <v>35</v>
      </c>
      <c r="J42" s="19" t="s">
        <v>1156</v>
      </c>
      <c r="K42" s="0" t="n">
        <v>1</v>
      </c>
      <c r="L42" s="20" t="n">
        <v>7814.11</v>
      </c>
      <c r="M42" s="20" t="n">
        <v>5932.89</v>
      </c>
      <c r="N42" s="20" t="n">
        <v>7814.11</v>
      </c>
      <c r="O42" s="20" t="n">
        <v>5932.89</v>
      </c>
      <c r="P42" s="20" t="n">
        <v>1881.22</v>
      </c>
      <c r="Q42" s="21" t="n">
        <v>0.2407</v>
      </c>
      <c r="R42" s="19" t="s">
        <v>1147</v>
      </c>
    </row>
    <row r="43" customFormat="false" ht="15" hidden="false" customHeight="false" outlineLevel="0" collapsed="false">
      <c r="A43" s="0" t="n">
        <v>42</v>
      </c>
      <c r="B43" s="18" t="n">
        <v>45005</v>
      </c>
      <c r="C43" s="0" t="n">
        <v>2023</v>
      </c>
      <c r="D43" s="0" t="n">
        <v>3</v>
      </c>
      <c r="E43" s="19" t="s">
        <v>204</v>
      </c>
      <c r="F43" s="19" t="s">
        <v>698</v>
      </c>
      <c r="G43" s="19" t="s">
        <v>1157</v>
      </c>
      <c r="H43" s="19" t="s">
        <v>333</v>
      </c>
      <c r="I43" s="19" t="s">
        <v>35</v>
      </c>
      <c r="J43" s="19" t="s">
        <v>1054</v>
      </c>
      <c r="K43" s="0" t="n">
        <v>1</v>
      </c>
      <c r="L43" s="20" t="n">
        <v>142.66</v>
      </c>
      <c r="M43" s="20" t="n">
        <v>94.01</v>
      </c>
      <c r="N43" s="20" t="n">
        <v>142.66</v>
      </c>
      <c r="O43" s="20" t="n">
        <v>94.01</v>
      </c>
      <c r="P43" s="20" t="n">
        <v>48.65</v>
      </c>
      <c r="Q43" s="21" t="n">
        <v>0.341</v>
      </c>
      <c r="R43" s="19" t="s">
        <v>1145</v>
      </c>
    </row>
    <row r="44" customFormat="false" ht="15" hidden="false" customHeight="false" outlineLevel="0" collapsed="false">
      <c r="A44" s="0" t="n">
        <v>43</v>
      </c>
      <c r="B44" s="18" t="n">
        <v>45006</v>
      </c>
      <c r="C44" s="0" t="n">
        <v>2023</v>
      </c>
      <c r="D44" s="0" t="n">
        <v>3</v>
      </c>
      <c r="E44" s="19" t="s">
        <v>204</v>
      </c>
      <c r="F44" s="19" t="s">
        <v>958</v>
      </c>
      <c r="G44" s="19" t="s">
        <v>1150</v>
      </c>
      <c r="H44" s="19" t="s">
        <v>333</v>
      </c>
      <c r="I44" s="19" t="s">
        <v>35</v>
      </c>
      <c r="J44" s="19" t="s">
        <v>1160</v>
      </c>
      <c r="K44" s="0" t="n">
        <v>1</v>
      </c>
      <c r="L44" s="20" t="n">
        <v>4314.53</v>
      </c>
      <c r="M44" s="20" t="n">
        <v>2595.96</v>
      </c>
      <c r="N44" s="20" t="n">
        <v>4314.53</v>
      </c>
      <c r="O44" s="20" t="n">
        <v>2595.96</v>
      </c>
      <c r="P44" s="20" t="n">
        <v>1718.57</v>
      </c>
      <c r="Q44" s="21" t="n">
        <v>0.3983</v>
      </c>
      <c r="R44" s="19" t="s">
        <v>1147</v>
      </c>
    </row>
    <row r="45" customFormat="false" ht="15" hidden="false" customHeight="false" outlineLevel="0" collapsed="false">
      <c r="A45" s="0" t="n">
        <v>44</v>
      </c>
      <c r="B45" s="18" t="n">
        <v>45006</v>
      </c>
      <c r="C45" s="0" t="n">
        <v>2023</v>
      </c>
      <c r="D45" s="0" t="n">
        <v>3</v>
      </c>
      <c r="E45" s="19" t="s">
        <v>685</v>
      </c>
      <c r="F45" s="19" t="s">
        <v>698</v>
      </c>
      <c r="G45" s="19" t="s">
        <v>774</v>
      </c>
      <c r="H45" s="19" t="s">
        <v>362</v>
      </c>
      <c r="I45" s="19" t="s">
        <v>35</v>
      </c>
      <c r="J45" s="19" t="s">
        <v>1160</v>
      </c>
      <c r="K45" s="0" t="n">
        <v>1</v>
      </c>
      <c r="L45" s="20" t="n">
        <v>167.09</v>
      </c>
      <c r="M45" s="20" t="n">
        <v>125.27</v>
      </c>
      <c r="N45" s="20" t="n">
        <v>167.09</v>
      </c>
      <c r="O45" s="20" t="n">
        <v>125.27</v>
      </c>
      <c r="P45" s="20" t="n">
        <v>41.82</v>
      </c>
      <c r="Q45" s="21" t="n">
        <v>0.2503</v>
      </c>
      <c r="R45" s="19" t="s">
        <v>1145</v>
      </c>
    </row>
    <row r="46" customFormat="false" ht="15" hidden="false" customHeight="false" outlineLevel="0" collapsed="false">
      <c r="A46" s="0" t="n">
        <v>45</v>
      </c>
      <c r="B46" s="18" t="n">
        <v>45007</v>
      </c>
      <c r="C46" s="0" t="n">
        <v>2023</v>
      </c>
      <c r="D46" s="0" t="n">
        <v>3</v>
      </c>
      <c r="E46" s="19" t="s">
        <v>204</v>
      </c>
      <c r="F46" s="19" t="s">
        <v>958</v>
      </c>
      <c r="G46" s="19" t="s">
        <v>902</v>
      </c>
      <c r="H46" s="19" t="s">
        <v>333</v>
      </c>
      <c r="I46" s="19" t="s">
        <v>35</v>
      </c>
      <c r="J46" s="19" t="s">
        <v>1161</v>
      </c>
      <c r="K46" s="0" t="n">
        <v>1</v>
      </c>
      <c r="L46" s="20" t="n">
        <v>2355.14</v>
      </c>
      <c r="M46" s="20" t="n">
        <v>1429.16</v>
      </c>
      <c r="N46" s="20" t="n">
        <v>2355.14</v>
      </c>
      <c r="O46" s="20" t="n">
        <v>1429.16</v>
      </c>
      <c r="P46" s="20" t="n">
        <v>925.98</v>
      </c>
      <c r="Q46" s="21" t="n">
        <v>0.3932</v>
      </c>
      <c r="R46" s="19" t="s">
        <v>1149</v>
      </c>
    </row>
    <row r="47" customFormat="false" ht="15" hidden="false" customHeight="false" outlineLevel="0" collapsed="false">
      <c r="A47" s="0" t="n">
        <v>46</v>
      </c>
      <c r="B47" s="18" t="n">
        <v>45010</v>
      </c>
      <c r="C47" s="0" t="n">
        <v>2023</v>
      </c>
      <c r="D47" s="0" t="n">
        <v>3</v>
      </c>
      <c r="E47" s="19" t="s">
        <v>268</v>
      </c>
      <c r="F47" s="19" t="s">
        <v>958</v>
      </c>
      <c r="G47" s="19" t="s">
        <v>881</v>
      </c>
      <c r="H47" s="19" t="s">
        <v>333</v>
      </c>
      <c r="I47" s="19" t="s">
        <v>35</v>
      </c>
      <c r="J47" s="19" t="s">
        <v>831</v>
      </c>
      <c r="K47" s="0" t="n">
        <v>2</v>
      </c>
      <c r="L47" s="20" t="n">
        <v>3686.57</v>
      </c>
      <c r="M47" s="20" t="n">
        <v>2263.43</v>
      </c>
      <c r="N47" s="20" t="n">
        <v>7373.14</v>
      </c>
      <c r="O47" s="20" t="n">
        <v>4526.86</v>
      </c>
      <c r="P47" s="20" t="n">
        <v>2846.28</v>
      </c>
      <c r="Q47" s="21" t="n">
        <v>0.386</v>
      </c>
      <c r="R47" s="19" t="s">
        <v>1147</v>
      </c>
    </row>
    <row r="48" customFormat="false" ht="15" hidden="false" customHeight="false" outlineLevel="0" collapsed="false">
      <c r="A48" s="0" t="n">
        <v>47</v>
      </c>
      <c r="B48" s="18" t="n">
        <v>45011</v>
      </c>
      <c r="C48" s="0" t="n">
        <v>2023</v>
      </c>
      <c r="D48" s="0" t="n">
        <v>3</v>
      </c>
      <c r="E48" s="19" t="s">
        <v>204</v>
      </c>
      <c r="F48" s="19" t="s">
        <v>588</v>
      </c>
      <c r="G48" s="19" t="s">
        <v>1152</v>
      </c>
      <c r="H48" s="19" t="s">
        <v>333</v>
      </c>
      <c r="I48" s="19" t="s">
        <v>35</v>
      </c>
      <c r="J48" s="19" t="s">
        <v>260</v>
      </c>
      <c r="K48" s="0" t="n">
        <v>1</v>
      </c>
      <c r="L48" s="20" t="n">
        <v>113.83</v>
      </c>
      <c r="M48" s="20" t="n">
        <v>79.75</v>
      </c>
      <c r="N48" s="20" t="n">
        <v>113.83</v>
      </c>
      <c r="O48" s="20" t="n">
        <v>79.75</v>
      </c>
      <c r="P48" s="20" t="n">
        <v>34.08</v>
      </c>
      <c r="Q48" s="21" t="n">
        <v>0.2994</v>
      </c>
      <c r="R48" s="19" t="s">
        <v>1145</v>
      </c>
    </row>
    <row r="49" customFormat="false" ht="15" hidden="false" customHeight="false" outlineLevel="0" collapsed="false">
      <c r="A49" s="0" t="n">
        <v>48</v>
      </c>
      <c r="B49" s="18" t="n">
        <v>45012</v>
      </c>
      <c r="C49" s="0" t="n">
        <v>2023</v>
      </c>
      <c r="D49" s="0" t="n">
        <v>3</v>
      </c>
      <c r="E49" s="19" t="s">
        <v>782</v>
      </c>
      <c r="F49" s="19" t="s">
        <v>588</v>
      </c>
      <c r="G49" s="19" t="s">
        <v>1153</v>
      </c>
      <c r="H49" s="19" t="s">
        <v>362</v>
      </c>
      <c r="I49" s="19" t="s">
        <v>54</v>
      </c>
      <c r="J49" s="19" t="s">
        <v>1160</v>
      </c>
      <c r="K49" s="0" t="n">
        <v>1</v>
      </c>
      <c r="L49" s="20" t="n">
        <v>150.16</v>
      </c>
      <c r="M49" s="20" t="n">
        <v>83.02</v>
      </c>
      <c r="N49" s="20" t="n">
        <v>150.16</v>
      </c>
      <c r="O49" s="20" t="n">
        <v>83.02</v>
      </c>
      <c r="P49" s="20" t="n">
        <v>67.14</v>
      </c>
      <c r="Q49" s="21" t="n">
        <v>0.4471</v>
      </c>
      <c r="R49" s="19" t="s">
        <v>1145</v>
      </c>
    </row>
    <row r="50" customFormat="false" ht="15" hidden="false" customHeight="false" outlineLevel="0" collapsed="false">
      <c r="A50" s="0" t="n">
        <v>49</v>
      </c>
      <c r="B50" s="18" t="n">
        <v>45013</v>
      </c>
      <c r="C50" s="0" t="n">
        <v>2023</v>
      </c>
      <c r="D50" s="0" t="n">
        <v>3</v>
      </c>
      <c r="E50" s="19" t="s">
        <v>782</v>
      </c>
      <c r="F50" s="19" t="s">
        <v>958</v>
      </c>
      <c r="G50" s="19" t="s">
        <v>572</v>
      </c>
      <c r="H50" s="19" t="s">
        <v>362</v>
      </c>
      <c r="I50" s="19" t="s">
        <v>54</v>
      </c>
      <c r="J50" s="19" t="s">
        <v>180</v>
      </c>
      <c r="K50" s="0" t="n">
        <v>1</v>
      </c>
      <c r="L50" s="20" t="n">
        <v>3185.14</v>
      </c>
      <c r="M50" s="20" t="n">
        <v>1942.43</v>
      </c>
      <c r="N50" s="20" t="n">
        <v>3185.14</v>
      </c>
      <c r="O50" s="20" t="n">
        <v>1942.43</v>
      </c>
      <c r="P50" s="20" t="n">
        <v>1242.71</v>
      </c>
      <c r="Q50" s="21" t="n">
        <v>0.3902</v>
      </c>
      <c r="R50" s="19" t="s">
        <v>1147</v>
      </c>
    </row>
    <row r="51" customFormat="false" ht="15" hidden="false" customHeight="false" outlineLevel="0" collapsed="false">
      <c r="A51" s="0" t="n">
        <v>50</v>
      </c>
      <c r="B51" s="18" t="n">
        <v>45013</v>
      </c>
      <c r="C51" s="0" t="n">
        <v>2023</v>
      </c>
      <c r="D51" s="0" t="n">
        <v>3</v>
      </c>
      <c r="E51" s="19" t="s">
        <v>782</v>
      </c>
      <c r="F51" s="19" t="s">
        <v>853</v>
      </c>
      <c r="G51" s="19" t="s">
        <v>365</v>
      </c>
      <c r="H51" s="19" t="s">
        <v>333</v>
      </c>
      <c r="I51" s="19" t="s">
        <v>35</v>
      </c>
      <c r="J51" s="19" t="s">
        <v>716</v>
      </c>
      <c r="K51" s="0" t="n">
        <v>1</v>
      </c>
      <c r="L51" s="20" t="n">
        <v>1149.75</v>
      </c>
      <c r="M51" s="20" t="n">
        <v>853.86</v>
      </c>
      <c r="N51" s="20" t="n">
        <v>1149.75</v>
      </c>
      <c r="O51" s="20" t="n">
        <v>853.86</v>
      </c>
      <c r="P51" s="20" t="n">
        <v>295.89</v>
      </c>
      <c r="Q51" s="21" t="n">
        <v>0.2574</v>
      </c>
      <c r="R51" s="19" t="s">
        <v>1149</v>
      </c>
    </row>
    <row r="52" customFormat="false" ht="15" hidden="false" customHeight="false" outlineLevel="0" collapsed="false">
      <c r="A52" s="0" t="n">
        <v>51</v>
      </c>
      <c r="B52" s="18" t="n">
        <v>45014</v>
      </c>
      <c r="C52" s="0" t="n">
        <v>2023</v>
      </c>
      <c r="D52" s="0" t="n">
        <v>3</v>
      </c>
      <c r="E52" s="19" t="s">
        <v>782</v>
      </c>
      <c r="F52" s="19" t="s">
        <v>588</v>
      </c>
      <c r="G52" s="19" t="s">
        <v>1152</v>
      </c>
      <c r="H52" s="19" t="s">
        <v>333</v>
      </c>
      <c r="I52" s="19" t="s">
        <v>35</v>
      </c>
      <c r="J52" s="19" t="s">
        <v>831</v>
      </c>
      <c r="K52" s="0" t="n">
        <v>2</v>
      </c>
      <c r="L52" s="20" t="n">
        <v>845.38</v>
      </c>
      <c r="M52" s="20" t="n">
        <v>571.13</v>
      </c>
      <c r="N52" s="20" t="n">
        <v>1690.76</v>
      </c>
      <c r="O52" s="20" t="n">
        <v>1142.26</v>
      </c>
      <c r="P52" s="20" t="n">
        <v>548.5</v>
      </c>
      <c r="Q52" s="21" t="n">
        <v>0.3244</v>
      </c>
      <c r="R52" s="19" t="s">
        <v>1149</v>
      </c>
    </row>
    <row r="53" customFormat="false" ht="15" hidden="false" customHeight="false" outlineLevel="0" collapsed="false">
      <c r="A53" s="0" t="n">
        <v>52</v>
      </c>
      <c r="B53" s="18" t="n">
        <v>45015</v>
      </c>
      <c r="C53" s="0" t="n">
        <v>2023</v>
      </c>
      <c r="D53" s="0" t="n">
        <v>3</v>
      </c>
      <c r="E53" s="19" t="s">
        <v>782</v>
      </c>
      <c r="F53" s="19" t="s">
        <v>588</v>
      </c>
      <c r="G53" s="19" t="s">
        <v>1152</v>
      </c>
      <c r="H53" s="19" t="s">
        <v>333</v>
      </c>
      <c r="I53" s="19" t="s">
        <v>54</v>
      </c>
      <c r="J53" s="19" t="s">
        <v>647</v>
      </c>
      <c r="K53" s="0" t="n">
        <v>1</v>
      </c>
      <c r="L53" s="20" t="n">
        <v>371.28</v>
      </c>
      <c r="M53" s="20" t="n">
        <v>265.41</v>
      </c>
      <c r="N53" s="20" t="n">
        <v>371.28</v>
      </c>
      <c r="O53" s="20" t="n">
        <v>265.41</v>
      </c>
      <c r="P53" s="20" t="n">
        <v>105.87</v>
      </c>
      <c r="Q53" s="21" t="n">
        <v>0.2851</v>
      </c>
      <c r="R53" s="19" t="s">
        <v>1145</v>
      </c>
    </row>
    <row r="54" customFormat="false" ht="15" hidden="false" customHeight="false" outlineLevel="0" collapsed="false">
      <c r="A54" s="0" t="n">
        <v>53</v>
      </c>
      <c r="B54" s="18" t="n">
        <v>45016</v>
      </c>
      <c r="C54" s="0" t="n">
        <v>2023</v>
      </c>
      <c r="D54" s="0" t="n">
        <v>3</v>
      </c>
      <c r="E54" s="19" t="s">
        <v>782</v>
      </c>
      <c r="F54" s="19" t="s">
        <v>853</v>
      </c>
      <c r="G54" s="19" t="s">
        <v>365</v>
      </c>
      <c r="H54" s="19" t="s">
        <v>362</v>
      </c>
      <c r="I54" s="19" t="s">
        <v>35</v>
      </c>
      <c r="J54" s="19" t="s">
        <v>831</v>
      </c>
      <c r="K54" s="0" t="n">
        <v>1</v>
      </c>
      <c r="L54" s="20" t="n">
        <v>2854.52</v>
      </c>
      <c r="M54" s="20" t="n">
        <v>1973.59</v>
      </c>
      <c r="N54" s="20" t="n">
        <v>2854.52</v>
      </c>
      <c r="O54" s="20" t="n">
        <v>1973.59</v>
      </c>
      <c r="P54" s="20" t="n">
        <v>880.93</v>
      </c>
      <c r="Q54" s="21" t="n">
        <v>0.3086</v>
      </c>
      <c r="R54" s="19" t="s">
        <v>1149</v>
      </c>
    </row>
    <row r="55" customFormat="false" ht="15" hidden="false" customHeight="false" outlineLevel="0" collapsed="false">
      <c r="A55" s="0" t="n">
        <v>54</v>
      </c>
      <c r="B55" s="18" t="n">
        <v>45016</v>
      </c>
      <c r="C55" s="0" t="n">
        <v>2023</v>
      </c>
      <c r="D55" s="0" t="n">
        <v>3</v>
      </c>
      <c r="E55" s="19" t="s">
        <v>782</v>
      </c>
      <c r="F55" s="19" t="s">
        <v>958</v>
      </c>
      <c r="G55" s="19" t="s">
        <v>1150</v>
      </c>
      <c r="H55" s="19" t="s">
        <v>333</v>
      </c>
      <c r="I55" s="19" t="s">
        <v>35</v>
      </c>
      <c r="J55" s="19" t="s">
        <v>613</v>
      </c>
      <c r="K55" s="0" t="n">
        <v>1</v>
      </c>
      <c r="L55" s="20" t="n">
        <v>4050.15</v>
      </c>
      <c r="M55" s="20" t="n">
        <v>2548.06</v>
      </c>
      <c r="N55" s="20" t="n">
        <v>4050.15</v>
      </c>
      <c r="O55" s="20" t="n">
        <v>2548.06</v>
      </c>
      <c r="P55" s="20" t="n">
        <v>1502.09</v>
      </c>
      <c r="Q55" s="21" t="n">
        <v>0.3709</v>
      </c>
      <c r="R55" s="19" t="s">
        <v>1147</v>
      </c>
    </row>
    <row r="56" customFormat="false" ht="15" hidden="false" customHeight="false" outlineLevel="0" collapsed="false">
      <c r="A56" s="0" t="n">
        <v>55</v>
      </c>
      <c r="B56" s="18" t="n">
        <v>45017</v>
      </c>
      <c r="C56" s="0" t="n">
        <v>2023</v>
      </c>
      <c r="D56" s="0" t="n">
        <v>4</v>
      </c>
      <c r="E56" s="19" t="s">
        <v>268</v>
      </c>
      <c r="F56" s="19" t="s">
        <v>958</v>
      </c>
      <c r="G56" s="19" t="s">
        <v>902</v>
      </c>
      <c r="H56" s="19" t="s">
        <v>333</v>
      </c>
      <c r="I56" s="19" t="s">
        <v>35</v>
      </c>
      <c r="J56" s="19" t="s">
        <v>647</v>
      </c>
      <c r="K56" s="0" t="n">
        <v>1</v>
      </c>
      <c r="L56" s="20" t="n">
        <v>2566.79</v>
      </c>
      <c r="M56" s="20" t="n">
        <v>1676.34</v>
      </c>
      <c r="N56" s="20" t="n">
        <v>2566.79</v>
      </c>
      <c r="O56" s="20" t="n">
        <v>1676.34</v>
      </c>
      <c r="P56" s="20" t="n">
        <v>890.45</v>
      </c>
      <c r="Q56" s="21" t="n">
        <v>0.3469</v>
      </c>
      <c r="R56" s="19" t="s">
        <v>1149</v>
      </c>
    </row>
    <row r="57" customFormat="false" ht="15" hidden="false" customHeight="false" outlineLevel="0" collapsed="false">
      <c r="A57" s="0" t="n">
        <v>56</v>
      </c>
      <c r="B57" s="18" t="n">
        <v>45020</v>
      </c>
      <c r="C57" s="0" t="n">
        <v>2023</v>
      </c>
      <c r="D57" s="0" t="n">
        <v>4</v>
      </c>
      <c r="E57" s="19" t="s">
        <v>782</v>
      </c>
      <c r="F57" s="19" t="s">
        <v>958</v>
      </c>
      <c r="G57" s="19" t="s">
        <v>1150</v>
      </c>
      <c r="H57" s="19" t="s">
        <v>362</v>
      </c>
      <c r="I57" s="19" t="s">
        <v>35</v>
      </c>
      <c r="J57" s="19" t="s">
        <v>716</v>
      </c>
      <c r="K57" s="0" t="n">
        <v>1</v>
      </c>
      <c r="L57" s="20" t="n">
        <v>2764.64</v>
      </c>
      <c r="M57" s="20" t="n">
        <v>1884.56</v>
      </c>
      <c r="N57" s="20" t="n">
        <v>2764.64</v>
      </c>
      <c r="O57" s="20" t="n">
        <v>1884.56</v>
      </c>
      <c r="P57" s="20" t="n">
        <v>880.08</v>
      </c>
      <c r="Q57" s="21" t="n">
        <v>0.3183</v>
      </c>
      <c r="R57" s="19" t="s">
        <v>1149</v>
      </c>
    </row>
    <row r="58" customFormat="false" ht="15" hidden="false" customHeight="false" outlineLevel="0" collapsed="false">
      <c r="A58" s="0" t="n">
        <v>57</v>
      </c>
      <c r="B58" s="18" t="n">
        <v>45021</v>
      </c>
      <c r="C58" s="0" t="n">
        <v>2023</v>
      </c>
      <c r="D58" s="0" t="n">
        <v>4</v>
      </c>
      <c r="E58" s="19" t="s">
        <v>204</v>
      </c>
      <c r="F58" s="19" t="s">
        <v>853</v>
      </c>
      <c r="G58" s="19" t="s">
        <v>365</v>
      </c>
      <c r="H58" s="19" t="s">
        <v>362</v>
      </c>
      <c r="I58" s="19" t="s">
        <v>35</v>
      </c>
      <c r="J58" s="19" t="s">
        <v>1158</v>
      </c>
      <c r="K58" s="0" t="n">
        <v>1</v>
      </c>
      <c r="L58" s="20" t="n">
        <v>3187.81</v>
      </c>
      <c r="M58" s="20" t="n">
        <v>2350.59</v>
      </c>
      <c r="N58" s="20" t="n">
        <v>3187.81</v>
      </c>
      <c r="O58" s="20" t="n">
        <v>2350.59</v>
      </c>
      <c r="P58" s="20" t="n">
        <v>837.22</v>
      </c>
      <c r="Q58" s="21" t="n">
        <v>0.2626</v>
      </c>
      <c r="R58" s="19" t="s">
        <v>1147</v>
      </c>
    </row>
    <row r="59" customFormat="false" ht="15" hidden="false" customHeight="false" outlineLevel="0" collapsed="false">
      <c r="A59" s="0" t="n">
        <v>58</v>
      </c>
      <c r="B59" s="18" t="n">
        <v>45022</v>
      </c>
      <c r="C59" s="0" t="n">
        <v>2023</v>
      </c>
      <c r="D59" s="0" t="n">
        <v>4</v>
      </c>
      <c r="E59" s="19" t="s">
        <v>782</v>
      </c>
      <c r="F59" s="19" t="s">
        <v>588</v>
      </c>
      <c r="G59" s="19" t="s">
        <v>1159</v>
      </c>
      <c r="H59" s="19" t="s">
        <v>362</v>
      </c>
      <c r="I59" s="19" t="s">
        <v>54</v>
      </c>
      <c r="J59" s="19" t="s">
        <v>831</v>
      </c>
      <c r="K59" s="0" t="n">
        <v>1</v>
      </c>
      <c r="L59" s="20" t="n">
        <v>618.11</v>
      </c>
      <c r="M59" s="20" t="n">
        <v>449.45</v>
      </c>
      <c r="N59" s="20" t="n">
        <v>618.11</v>
      </c>
      <c r="O59" s="20" t="n">
        <v>449.45</v>
      </c>
      <c r="P59" s="20" t="n">
        <v>168.66</v>
      </c>
      <c r="Q59" s="21" t="n">
        <v>0.2729</v>
      </c>
      <c r="R59" s="19" t="s">
        <v>1145</v>
      </c>
    </row>
    <row r="60" customFormat="false" ht="15" hidden="false" customHeight="false" outlineLevel="0" collapsed="false">
      <c r="A60" s="0" t="n">
        <v>59</v>
      </c>
      <c r="B60" s="18" t="n">
        <v>45023</v>
      </c>
      <c r="C60" s="0" t="n">
        <v>2023</v>
      </c>
      <c r="D60" s="0" t="n">
        <v>4</v>
      </c>
      <c r="E60" s="19" t="s">
        <v>204</v>
      </c>
      <c r="F60" s="19" t="s">
        <v>958</v>
      </c>
      <c r="G60" s="19" t="s">
        <v>862</v>
      </c>
      <c r="H60" s="19" t="s">
        <v>333</v>
      </c>
      <c r="I60" s="19" t="s">
        <v>35</v>
      </c>
      <c r="J60" s="19" t="s">
        <v>1057</v>
      </c>
      <c r="K60" s="0" t="n">
        <v>1</v>
      </c>
      <c r="L60" s="20" t="n">
        <v>4036.45</v>
      </c>
      <c r="M60" s="20" t="n">
        <v>2479.52</v>
      </c>
      <c r="N60" s="20" t="n">
        <v>4036.45</v>
      </c>
      <c r="O60" s="20" t="n">
        <v>2479.52</v>
      </c>
      <c r="P60" s="20" t="n">
        <v>1556.93</v>
      </c>
      <c r="Q60" s="21" t="n">
        <v>0.3857</v>
      </c>
      <c r="R60" s="19" t="s">
        <v>1147</v>
      </c>
    </row>
    <row r="61" customFormat="false" ht="15" hidden="false" customHeight="false" outlineLevel="0" collapsed="false">
      <c r="A61" s="0" t="n">
        <v>60</v>
      </c>
      <c r="B61" s="18" t="n">
        <v>45023</v>
      </c>
      <c r="C61" s="0" t="n">
        <v>2023</v>
      </c>
      <c r="D61" s="0" t="n">
        <v>4</v>
      </c>
      <c r="E61" s="19" t="s">
        <v>685</v>
      </c>
      <c r="F61" s="19" t="s">
        <v>698</v>
      </c>
      <c r="G61" s="19" t="s">
        <v>774</v>
      </c>
      <c r="H61" s="19" t="s">
        <v>333</v>
      </c>
      <c r="I61" s="19" t="s">
        <v>35</v>
      </c>
      <c r="J61" s="19" t="s">
        <v>1054</v>
      </c>
      <c r="K61" s="0" t="n">
        <v>1</v>
      </c>
      <c r="L61" s="20" t="n">
        <v>178.96</v>
      </c>
      <c r="M61" s="20" t="n">
        <v>101.87</v>
      </c>
      <c r="N61" s="20" t="n">
        <v>178.96</v>
      </c>
      <c r="O61" s="20" t="n">
        <v>101.87</v>
      </c>
      <c r="P61" s="20" t="n">
        <v>77.09</v>
      </c>
      <c r="Q61" s="21" t="n">
        <v>0.4308</v>
      </c>
      <c r="R61" s="19" t="s">
        <v>1145</v>
      </c>
    </row>
    <row r="62" customFormat="false" ht="15" hidden="false" customHeight="false" outlineLevel="0" collapsed="false">
      <c r="A62" s="0" t="n">
        <v>61</v>
      </c>
      <c r="B62" s="18" t="n">
        <v>45027</v>
      </c>
      <c r="C62" s="0" t="n">
        <v>2023</v>
      </c>
      <c r="D62" s="0" t="n">
        <v>4</v>
      </c>
      <c r="E62" s="19" t="s">
        <v>782</v>
      </c>
      <c r="F62" s="19" t="s">
        <v>960</v>
      </c>
      <c r="G62" s="19" t="s">
        <v>1162</v>
      </c>
      <c r="H62" s="19" t="s">
        <v>362</v>
      </c>
      <c r="I62" s="19" t="s">
        <v>35</v>
      </c>
      <c r="J62" s="19" t="s">
        <v>586</v>
      </c>
      <c r="K62" s="0" t="n">
        <v>1</v>
      </c>
      <c r="L62" s="20" t="n">
        <v>7978.09</v>
      </c>
      <c r="M62" s="20" t="n">
        <v>5905.48</v>
      </c>
      <c r="N62" s="20" t="n">
        <v>7978.09</v>
      </c>
      <c r="O62" s="20" t="n">
        <v>5905.48</v>
      </c>
      <c r="P62" s="20" t="n">
        <v>2072.61</v>
      </c>
      <c r="Q62" s="21" t="n">
        <v>0.2598</v>
      </c>
      <c r="R62" s="19" t="s">
        <v>1147</v>
      </c>
    </row>
    <row r="63" customFormat="false" ht="15" hidden="false" customHeight="false" outlineLevel="0" collapsed="false">
      <c r="A63" s="0" t="n">
        <v>62</v>
      </c>
      <c r="B63" s="18" t="n">
        <v>45029</v>
      </c>
      <c r="C63" s="0" t="n">
        <v>2023</v>
      </c>
      <c r="D63" s="0" t="n">
        <v>4</v>
      </c>
      <c r="E63" s="19" t="s">
        <v>268</v>
      </c>
      <c r="F63" s="19" t="s">
        <v>588</v>
      </c>
      <c r="G63" s="19" t="s">
        <v>1151</v>
      </c>
      <c r="H63" s="19" t="s">
        <v>362</v>
      </c>
      <c r="I63" s="19" t="s">
        <v>35</v>
      </c>
      <c r="J63" s="19" t="s">
        <v>1054</v>
      </c>
      <c r="K63" s="0" t="n">
        <v>1</v>
      </c>
      <c r="L63" s="20" t="n">
        <v>455.87</v>
      </c>
      <c r="M63" s="20" t="n">
        <v>309.66</v>
      </c>
      <c r="N63" s="20" t="n">
        <v>455.87</v>
      </c>
      <c r="O63" s="20" t="n">
        <v>309.66</v>
      </c>
      <c r="P63" s="20" t="n">
        <v>146.21</v>
      </c>
      <c r="Q63" s="21" t="n">
        <v>0.3207</v>
      </c>
      <c r="R63" s="19" t="s">
        <v>1145</v>
      </c>
    </row>
    <row r="64" customFormat="false" ht="15" hidden="false" customHeight="false" outlineLevel="0" collapsed="false">
      <c r="A64" s="0" t="n">
        <v>63</v>
      </c>
      <c r="B64" s="18" t="n">
        <v>45029</v>
      </c>
      <c r="C64" s="0" t="n">
        <v>2023</v>
      </c>
      <c r="D64" s="0" t="n">
        <v>4</v>
      </c>
      <c r="E64" s="19" t="s">
        <v>782</v>
      </c>
      <c r="F64" s="19" t="s">
        <v>698</v>
      </c>
      <c r="G64" s="19" t="s">
        <v>1163</v>
      </c>
      <c r="H64" s="19" t="s">
        <v>362</v>
      </c>
      <c r="I64" s="19" t="s">
        <v>35</v>
      </c>
      <c r="J64" s="19" t="s">
        <v>1156</v>
      </c>
      <c r="K64" s="0" t="n">
        <v>2</v>
      </c>
      <c r="L64" s="20" t="n">
        <v>70.61</v>
      </c>
      <c r="M64" s="20" t="n">
        <v>53.13</v>
      </c>
      <c r="N64" s="20" t="n">
        <v>141.22</v>
      </c>
      <c r="O64" s="20" t="n">
        <v>106.26</v>
      </c>
      <c r="P64" s="20" t="n">
        <v>34.96</v>
      </c>
      <c r="Q64" s="21" t="n">
        <v>0.2476</v>
      </c>
      <c r="R64" s="19" t="s">
        <v>1145</v>
      </c>
    </row>
    <row r="65" customFormat="false" ht="15" hidden="false" customHeight="false" outlineLevel="0" collapsed="false">
      <c r="A65" s="0" t="n">
        <v>64</v>
      </c>
      <c r="B65" s="18" t="n">
        <v>45029</v>
      </c>
      <c r="C65" s="0" t="n">
        <v>2023</v>
      </c>
      <c r="D65" s="0" t="n">
        <v>4</v>
      </c>
      <c r="E65" s="19" t="s">
        <v>937</v>
      </c>
      <c r="F65" s="19" t="s">
        <v>960</v>
      </c>
      <c r="G65" s="19" t="s">
        <v>1154</v>
      </c>
      <c r="H65" s="19" t="s">
        <v>362</v>
      </c>
      <c r="I65" s="19" t="s">
        <v>35</v>
      </c>
      <c r="J65" s="19" t="s">
        <v>377</v>
      </c>
      <c r="K65" s="0" t="n">
        <v>1</v>
      </c>
      <c r="L65" s="20" t="n">
        <v>3852.32</v>
      </c>
      <c r="M65" s="20" t="n">
        <v>2562.81</v>
      </c>
      <c r="N65" s="20" t="n">
        <v>3852.32</v>
      </c>
      <c r="O65" s="20" t="n">
        <v>2562.81</v>
      </c>
      <c r="P65" s="20" t="n">
        <v>1289.51</v>
      </c>
      <c r="Q65" s="21" t="n">
        <v>0.3347</v>
      </c>
      <c r="R65" s="19" t="s">
        <v>1147</v>
      </c>
    </row>
    <row r="66" customFormat="false" ht="15" hidden="false" customHeight="false" outlineLevel="0" collapsed="false">
      <c r="A66" s="0" t="n">
        <v>65</v>
      </c>
      <c r="B66" s="18" t="n">
        <v>45029</v>
      </c>
      <c r="C66" s="0" t="n">
        <v>2023</v>
      </c>
      <c r="D66" s="0" t="n">
        <v>4</v>
      </c>
      <c r="E66" s="19" t="s">
        <v>782</v>
      </c>
      <c r="F66" s="19" t="s">
        <v>958</v>
      </c>
      <c r="G66" s="19" t="s">
        <v>1150</v>
      </c>
      <c r="H66" s="19" t="s">
        <v>333</v>
      </c>
      <c r="I66" s="19" t="s">
        <v>54</v>
      </c>
      <c r="J66" s="19" t="s">
        <v>260</v>
      </c>
      <c r="K66" s="0" t="n">
        <v>1</v>
      </c>
      <c r="L66" s="20" t="n">
        <v>2500.55</v>
      </c>
      <c r="M66" s="20" t="n">
        <v>1468.97</v>
      </c>
      <c r="N66" s="20" t="n">
        <v>2500.55</v>
      </c>
      <c r="O66" s="20" t="n">
        <v>1468.97</v>
      </c>
      <c r="P66" s="20" t="n">
        <v>1031.58</v>
      </c>
      <c r="Q66" s="21" t="n">
        <v>0.4125</v>
      </c>
      <c r="R66" s="19" t="s">
        <v>1149</v>
      </c>
    </row>
    <row r="67" customFormat="false" ht="15" hidden="false" customHeight="false" outlineLevel="0" collapsed="false">
      <c r="A67" s="0" t="n">
        <v>66</v>
      </c>
      <c r="B67" s="18" t="n">
        <v>45029</v>
      </c>
      <c r="C67" s="0" t="n">
        <v>2023</v>
      </c>
      <c r="D67" s="0" t="n">
        <v>4</v>
      </c>
      <c r="E67" s="19" t="s">
        <v>268</v>
      </c>
      <c r="F67" s="19" t="s">
        <v>588</v>
      </c>
      <c r="G67" s="19" t="s">
        <v>1151</v>
      </c>
      <c r="H67" s="19" t="s">
        <v>362</v>
      </c>
      <c r="I67" s="19" t="s">
        <v>35</v>
      </c>
      <c r="J67" s="19" t="s">
        <v>807</v>
      </c>
      <c r="K67" s="0" t="n">
        <v>1</v>
      </c>
      <c r="L67" s="20" t="n">
        <v>889.09</v>
      </c>
      <c r="M67" s="20" t="n">
        <v>688.28</v>
      </c>
      <c r="N67" s="20" t="n">
        <v>889.09</v>
      </c>
      <c r="O67" s="20" t="n">
        <v>688.28</v>
      </c>
      <c r="P67" s="20" t="n">
        <v>200.81</v>
      </c>
      <c r="Q67" s="21" t="n">
        <v>0.2259</v>
      </c>
      <c r="R67" s="19" t="s">
        <v>1145</v>
      </c>
    </row>
    <row r="68" customFormat="false" ht="15" hidden="false" customHeight="false" outlineLevel="0" collapsed="false">
      <c r="A68" s="0" t="n">
        <v>67</v>
      </c>
      <c r="B68" s="18" t="n">
        <v>45031</v>
      </c>
      <c r="C68" s="0" t="n">
        <v>2023</v>
      </c>
      <c r="D68" s="0" t="n">
        <v>4</v>
      </c>
      <c r="E68" s="19" t="s">
        <v>782</v>
      </c>
      <c r="F68" s="19" t="s">
        <v>960</v>
      </c>
      <c r="G68" s="19" t="s">
        <v>1162</v>
      </c>
      <c r="H68" s="19" t="s">
        <v>362</v>
      </c>
      <c r="I68" s="19" t="s">
        <v>35</v>
      </c>
      <c r="J68" s="19" t="s">
        <v>758</v>
      </c>
      <c r="K68" s="0" t="n">
        <v>1</v>
      </c>
      <c r="L68" s="20" t="n">
        <v>2966.72</v>
      </c>
      <c r="M68" s="20" t="n">
        <v>1939.25</v>
      </c>
      <c r="N68" s="20" t="n">
        <v>2966.72</v>
      </c>
      <c r="O68" s="20" t="n">
        <v>1939.25</v>
      </c>
      <c r="P68" s="20" t="n">
        <v>1027.47</v>
      </c>
      <c r="Q68" s="21" t="n">
        <v>0.3463</v>
      </c>
      <c r="R68" s="19" t="s">
        <v>1149</v>
      </c>
    </row>
    <row r="69" customFormat="false" ht="15" hidden="false" customHeight="false" outlineLevel="0" collapsed="false">
      <c r="A69" s="0" t="n">
        <v>68</v>
      </c>
      <c r="B69" s="18" t="n">
        <v>45032</v>
      </c>
      <c r="C69" s="0" t="n">
        <v>2023</v>
      </c>
      <c r="D69" s="0" t="n">
        <v>4</v>
      </c>
      <c r="E69" s="19" t="s">
        <v>937</v>
      </c>
      <c r="F69" s="19" t="s">
        <v>958</v>
      </c>
      <c r="G69" s="19" t="s">
        <v>1150</v>
      </c>
      <c r="H69" s="19" t="s">
        <v>333</v>
      </c>
      <c r="I69" s="19" t="s">
        <v>35</v>
      </c>
      <c r="J69" s="19" t="s">
        <v>1057</v>
      </c>
      <c r="K69" s="0" t="n">
        <v>3</v>
      </c>
      <c r="L69" s="20" t="n">
        <v>4289.38</v>
      </c>
      <c r="M69" s="20" t="n">
        <v>2592.34</v>
      </c>
      <c r="N69" s="20" t="n">
        <v>12868.14</v>
      </c>
      <c r="O69" s="20" t="n">
        <v>7777.02</v>
      </c>
      <c r="P69" s="20" t="n">
        <v>5091.12</v>
      </c>
      <c r="Q69" s="21" t="n">
        <v>0.3956</v>
      </c>
      <c r="R69" s="19" t="s">
        <v>1147</v>
      </c>
    </row>
    <row r="70" customFormat="false" ht="15" hidden="false" customHeight="false" outlineLevel="0" collapsed="false">
      <c r="A70" s="0" t="n">
        <v>69</v>
      </c>
      <c r="B70" s="18" t="n">
        <v>45032</v>
      </c>
      <c r="C70" s="0" t="n">
        <v>2023</v>
      </c>
      <c r="D70" s="0" t="n">
        <v>4</v>
      </c>
      <c r="E70" s="19" t="s">
        <v>782</v>
      </c>
      <c r="F70" s="19" t="s">
        <v>698</v>
      </c>
      <c r="G70" s="19" t="s">
        <v>1163</v>
      </c>
      <c r="H70" s="19" t="s">
        <v>362</v>
      </c>
      <c r="I70" s="19" t="s">
        <v>35</v>
      </c>
      <c r="J70" s="19" t="s">
        <v>586</v>
      </c>
      <c r="K70" s="0" t="n">
        <v>2</v>
      </c>
      <c r="L70" s="20" t="n">
        <v>322.3</v>
      </c>
      <c r="M70" s="20" t="n">
        <v>210.65</v>
      </c>
      <c r="N70" s="20" t="n">
        <v>644.6</v>
      </c>
      <c r="O70" s="20" t="n">
        <v>421.3</v>
      </c>
      <c r="P70" s="20" t="n">
        <v>223.3</v>
      </c>
      <c r="Q70" s="21" t="n">
        <v>0.3464</v>
      </c>
      <c r="R70" s="19" t="s">
        <v>1145</v>
      </c>
    </row>
    <row r="71" customFormat="false" ht="15" hidden="false" customHeight="false" outlineLevel="0" collapsed="false">
      <c r="A71" s="0" t="n">
        <v>70</v>
      </c>
      <c r="B71" s="18" t="n">
        <v>45032</v>
      </c>
      <c r="C71" s="0" t="n">
        <v>2023</v>
      </c>
      <c r="D71" s="0" t="n">
        <v>4</v>
      </c>
      <c r="E71" s="19" t="s">
        <v>685</v>
      </c>
      <c r="F71" s="19" t="s">
        <v>698</v>
      </c>
      <c r="G71" s="19" t="s">
        <v>252</v>
      </c>
      <c r="H71" s="19" t="s">
        <v>362</v>
      </c>
      <c r="I71" s="19" t="s">
        <v>35</v>
      </c>
      <c r="J71" s="19" t="s">
        <v>180</v>
      </c>
      <c r="K71" s="0" t="n">
        <v>1</v>
      </c>
      <c r="L71" s="20" t="n">
        <v>172.38</v>
      </c>
      <c r="M71" s="20" t="n">
        <v>112.67</v>
      </c>
      <c r="N71" s="20" t="n">
        <v>172.38</v>
      </c>
      <c r="O71" s="20" t="n">
        <v>112.67</v>
      </c>
      <c r="P71" s="20" t="n">
        <v>59.71</v>
      </c>
      <c r="Q71" s="21" t="n">
        <v>0.3464</v>
      </c>
      <c r="R71" s="19" t="s">
        <v>1145</v>
      </c>
    </row>
    <row r="72" customFormat="false" ht="15" hidden="false" customHeight="false" outlineLevel="0" collapsed="false">
      <c r="A72" s="0" t="n">
        <v>71</v>
      </c>
      <c r="B72" s="18" t="n">
        <v>45033</v>
      </c>
      <c r="C72" s="0" t="n">
        <v>2023</v>
      </c>
      <c r="D72" s="0" t="n">
        <v>4</v>
      </c>
      <c r="E72" s="19" t="s">
        <v>937</v>
      </c>
      <c r="F72" s="19" t="s">
        <v>958</v>
      </c>
      <c r="G72" s="19" t="s">
        <v>902</v>
      </c>
      <c r="H72" s="19" t="s">
        <v>362</v>
      </c>
      <c r="I72" s="19" t="s">
        <v>54</v>
      </c>
      <c r="J72" s="19" t="s">
        <v>1155</v>
      </c>
      <c r="K72" s="0" t="n">
        <v>2</v>
      </c>
      <c r="L72" s="20" t="n">
        <v>4336.64</v>
      </c>
      <c r="M72" s="20" t="n">
        <v>2661.64</v>
      </c>
      <c r="N72" s="20" t="n">
        <v>8673.28</v>
      </c>
      <c r="O72" s="20" t="n">
        <v>5323.28</v>
      </c>
      <c r="P72" s="20" t="n">
        <v>3350</v>
      </c>
      <c r="Q72" s="21" t="n">
        <v>0.3862</v>
      </c>
      <c r="R72" s="19" t="s">
        <v>1147</v>
      </c>
    </row>
    <row r="73" customFormat="false" ht="15" hidden="false" customHeight="false" outlineLevel="0" collapsed="false">
      <c r="A73" s="0" t="n">
        <v>72</v>
      </c>
      <c r="B73" s="18" t="n">
        <v>45034</v>
      </c>
      <c r="C73" s="0" t="n">
        <v>2023</v>
      </c>
      <c r="D73" s="0" t="n">
        <v>4</v>
      </c>
      <c r="E73" s="19" t="s">
        <v>782</v>
      </c>
      <c r="F73" s="19" t="s">
        <v>698</v>
      </c>
      <c r="G73" s="19" t="s">
        <v>1163</v>
      </c>
      <c r="H73" s="19" t="s">
        <v>333</v>
      </c>
      <c r="I73" s="19" t="s">
        <v>54</v>
      </c>
      <c r="J73" s="19" t="s">
        <v>1067</v>
      </c>
      <c r="K73" s="0" t="n">
        <v>1</v>
      </c>
      <c r="L73" s="20" t="n">
        <v>240.88</v>
      </c>
      <c r="M73" s="20" t="n">
        <v>141.03</v>
      </c>
      <c r="N73" s="20" t="n">
        <v>240.88</v>
      </c>
      <c r="O73" s="20" t="n">
        <v>141.03</v>
      </c>
      <c r="P73" s="20" t="n">
        <v>99.85</v>
      </c>
      <c r="Q73" s="21" t="n">
        <v>0.4145</v>
      </c>
      <c r="R73" s="19" t="s">
        <v>1145</v>
      </c>
    </row>
    <row r="74" customFormat="false" ht="15" hidden="false" customHeight="false" outlineLevel="0" collapsed="false">
      <c r="A74" s="0" t="n">
        <v>73</v>
      </c>
      <c r="B74" s="18" t="n">
        <v>45038</v>
      </c>
      <c r="C74" s="0" t="n">
        <v>2023</v>
      </c>
      <c r="D74" s="0" t="n">
        <v>4</v>
      </c>
      <c r="E74" s="19" t="s">
        <v>685</v>
      </c>
      <c r="F74" s="19" t="s">
        <v>960</v>
      </c>
      <c r="G74" s="19" t="s">
        <v>1154</v>
      </c>
      <c r="H74" s="19" t="s">
        <v>362</v>
      </c>
      <c r="I74" s="19" t="s">
        <v>54</v>
      </c>
      <c r="J74" s="19" t="s">
        <v>1161</v>
      </c>
      <c r="K74" s="0" t="n">
        <v>2</v>
      </c>
      <c r="L74" s="20" t="n">
        <v>7076.66</v>
      </c>
      <c r="M74" s="20" t="n">
        <v>4570.34</v>
      </c>
      <c r="N74" s="20" t="n">
        <v>14153.32</v>
      </c>
      <c r="O74" s="20" t="n">
        <v>9140.68</v>
      </c>
      <c r="P74" s="20" t="n">
        <v>5012.64</v>
      </c>
      <c r="Q74" s="21" t="n">
        <v>0.3542</v>
      </c>
      <c r="R74" s="19" t="s">
        <v>1147</v>
      </c>
    </row>
    <row r="75" customFormat="false" ht="15" hidden="false" customHeight="false" outlineLevel="0" collapsed="false">
      <c r="A75" s="0" t="n">
        <v>74</v>
      </c>
      <c r="B75" s="18" t="n">
        <v>45038</v>
      </c>
      <c r="C75" s="0" t="n">
        <v>2023</v>
      </c>
      <c r="D75" s="0" t="n">
        <v>4</v>
      </c>
      <c r="E75" s="19" t="s">
        <v>204</v>
      </c>
      <c r="F75" s="19" t="s">
        <v>588</v>
      </c>
      <c r="G75" s="19" t="s">
        <v>1159</v>
      </c>
      <c r="H75" s="19" t="s">
        <v>362</v>
      </c>
      <c r="I75" s="19" t="s">
        <v>35</v>
      </c>
      <c r="J75" s="19" t="s">
        <v>260</v>
      </c>
      <c r="K75" s="0" t="n">
        <v>1</v>
      </c>
      <c r="L75" s="20" t="n">
        <v>223.34</v>
      </c>
      <c r="M75" s="20" t="n">
        <v>146.67</v>
      </c>
      <c r="N75" s="20" t="n">
        <v>223.34</v>
      </c>
      <c r="O75" s="20" t="n">
        <v>146.67</v>
      </c>
      <c r="P75" s="20" t="n">
        <v>76.67</v>
      </c>
      <c r="Q75" s="21" t="n">
        <v>0.3433</v>
      </c>
      <c r="R75" s="19" t="s">
        <v>1145</v>
      </c>
    </row>
    <row r="76" customFormat="false" ht="15" hidden="false" customHeight="false" outlineLevel="0" collapsed="false">
      <c r="A76" s="0" t="n">
        <v>75</v>
      </c>
      <c r="B76" s="18" t="n">
        <v>45039</v>
      </c>
      <c r="C76" s="0" t="n">
        <v>2023</v>
      </c>
      <c r="D76" s="0" t="n">
        <v>4</v>
      </c>
      <c r="E76" s="19" t="s">
        <v>937</v>
      </c>
      <c r="F76" s="19" t="s">
        <v>588</v>
      </c>
      <c r="G76" s="19" t="s">
        <v>1159</v>
      </c>
      <c r="H76" s="19" t="s">
        <v>333</v>
      </c>
      <c r="I76" s="19" t="s">
        <v>54</v>
      </c>
      <c r="J76" s="19" t="s">
        <v>613</v>
      </c>
      <c r="K76" s="0" t="n">
        <v>1</v>
      </c>
      <c r="L76" s="20" t="n">
        <v>83.69</v>
      </c>
      <c r="M76" s="20" t="n">
        <v>59.07</v>
      </c>
      <c r="N76" s="20" t="n">
        <v>83.69</v>
      </c>
      <c r="O76" s="20" t="n">
        <v>59.07</v>
      </c>
      <c r="P76" s="20" t="n">
        <v>24.62</v>
      </c>
      <c r="Q76" s="21" t="n">
        <v>0.2942</v>
      </c>
      <c r="R76" s="19" t="s">
        <v>1145</v>
      </c>
    </row>
    <row r="77" customFormat="false" ht="15" hidden="false" customHeight="false" outlineLevel="0" collapsed="false">
      <c r="A77" s="0" t="n">
        <v>76</v>
      </c>
      <c r="B77" s="18" t="n">
        <v>45042</v>
      </c>
      <c r="C77" s="0" t="n">
        <v>2023</v>
      </c>
      <c r="D77" s="0" t="n">
        <v>4</v>
      </c>
      <c r="E77" s="19" t="s">
        <v>782</v>
      </c>
      <c r="F77" s="19" t="s">
        <v>853</v>
      </c>
      <c r="G77" s="19" t="s">
        <v>298</v>
      </c>
      <c r="H77" s="19" t="s">
        <v>333</v>
      </c>
      <c r="I77" s="19" t="s">
        <v>54</v>
      </c>
      <c r="J77" s="19" t="s">
        <v>831</v>
      </c>
      <c r="K77" s="0" t="n">
        <v>1</v>
      </c>
      <c r="L77" s="20" t="n">
        <v>1588.88</v>
      </c>
      <c r="M77" s="20" t="n">
        <v>1100.47</v>
      </c>
      <c r="N77" s="20" t="n">
        <v>1588.88</v>
      </c>
      <c r="O77" s="20" t="n">
        <v>1100.47</v>
      </c>
      <c r="P77" s="20" t="n">
        <v>488.41</v>
      </c>
      <c r="Q77" s="21" t="n">
        <v>0.3074</v>
      </c>
      <c r="R77" s="19" t="s">
        <v>1149</v>
      </c>
    </row>
    <row r="78" customFormat="false" ht="15" hidden="false" customHeight="false" outlineLevel="0" collapsed="false">
      <c r="A78" s="0" t="n">
        <v>77</v>
      </c>
      <c r="B78" s="18" t="n">
        <v>45047</v>
      </c>
      <c r="C78" s="0" t="n">
        <v>2023</v>
      </c>
      <c r="D78" s="0" t="n">
        <v>5</v>
      </c>
      <c r="E78" s="19" t="s">
        <v>782</v>
      </c>
      <c r="F78" s="19" t="s">
        <v>588</v>
      </c>
      <c r="G78" s="19" t="s">
        <v>1153</v>
      </c>
      <c r="H78" s="19" t="s">
        <v>362</v>
      </c>
      <c r="I78" s="19" t="s">
        <v>35</v>
      </c>
      <c r="J78" s="19" t="s">
        <v>758</v>
      </c>
      <c r="K78" s="0" t="n">
        <v>1</v>
      </c>
      <c r="L78" s="20" t="n">
        <v>760.39</v>
      </c>
      <c r="M78" s="20" t="n">
        <v>551.2</v>
      </c>
      <c r="N78" s="20" t="n">
        <v>760.39</v>
      </c>
      <c r="O78" s="20" t="n">
        <v>551.2</v>
      </c>
      <c r="P78" s="20" t="n">
        <v>209.19</v>
      </c>
      <c r="Q78" s="21" t="n">
        <v>0.2751</v>
      </c>
      <c r="R78" s="19" t="s">
        <v>1145</v>
      </c>
    </row>
    <row r="79" customFormat="false" ht="15" hidden="false" customHeight="false" outlineLevel="0" collapsed="false">
      <c r="A79" s="0" t="n">
        <v>78</v>
      </c>
      <c r="B79" s="18" t="n">
        <v>45047</v>
      </c>
      <c r="C79" s="0" t="n">
        <v>2023</v>
      </c>
      <c r="D79" s="0" t="n">
        <v>5</v>
      </c>
      <c r="E79" s="19" t="s">
        <v>685</v>
      </c>
      <c r="F79" s="19" t="s">
        <v>853</v>
      </c>
      <c r="G79" s="19" t="s">
        <v>1148</v>
      </c>
      <c r="H79" s="19" t="s">
        <v>362</v>
      </c>
      <c r="I79" s="19" t="s">
        <v>35</v>
      </c>
      <c r="J79" s="19" t="s">
        <v>716</v>
      </c>
      <c r="K79" s="0" t="n">
        <v>1</v>
      </c>
      <c r="L79" s="20" t="n">
        <v>1681.35</v>
      </c>
      <c r="M79" s="20" t="n">
        <v>1128.75</v>
      </c>
      <c r="N79" s="20" t="n">
        <v>1681.35</v>
      </c>
      <c r="O79" s="20" t="n">
        <v>1128.75</v>
      </c>
      <c r="P79" s="20" t="n">
        <v>552.6</v>
      </c>
      <c r="Q79" s="21" t="n">
        <v>0.3287</v>
      </c>
      <c r="R79" s="19" t="s">
        <v>1149</v>
      </c>
    </row>
    <row r="80" customFormat="false" ht="15" hidden="false" customHeight="false" outlineLevel="0" collapsed="false">
      <c r="A80" s="0" t="n">
        <v>79</v>
      </c>
      <c r="B80" s="18" t="n">
        <v>45048</v>
      </c>
      <c r="C80" s="0" t="n">
        <v>2023</v>
      </c>
      <c r="D80" s="0" t="n">
        <v>5</v>
      </c>
      <c r="E80" s="19" t="s">
        <v>782</v>
      </c>
      <c r="F80" s="19" t="s">
        <v>698</v>
      </c>
      <c r="G80" s="19" t="s">
        <v>1157</v>
      </c>
      <c r="H80" s="19" t="s">
        <v>333</v>
      </c>
      <c r="I80" s="19" t="s">
        <v>35</v>
      </c>
      <c r="J80" s="19" t="s">
        <v>741</v>
      </c>
      <c r="K80" s="0" t="n">
        <v>2</v>
      </c>
      <c r="L80" s="20" t="n">
        <v>274.69</v>
      </c>
      <c r="M80" s="20" t="n">
        <v>181.44</v>
      </c>
      <c r="N80" s="20" t="n">
        <v>549.38</v>
      </c>
      <c r="O80" s="20" t="n">
        <v>362.88</v>
      </c>
      <c r="P80" s="20" t="n">
        <v>186.5</v>
      </c>
      <c r="Q80" s="21" t="n">
        <v>0.3395</v>
      </c>
      <c r="R80" s="19" t="s">
        <v>1145</v>
      </c>
    </row>
    <row r="81" customFormat="false" ht="15" hidden="false" customHeight="false" outlineLevel="0" collapsed="false">
      <c r="A81" s="0" t="n">
        <v>80</v>
      </c>
      <c r="B81" s="18" t="n">
        <v>45051</v>
      </c>
      <c r="C81" s="0" t="n">
        <v>2023</v>
      </c>
      <c r="D81" s="0" t="n">
        <v>5</v>
      </c>
      <c r="E81" s="19" t="s">
        <v>782</v>
      </c>
      <c r="F81" s="19" t="s">
        <v>588</v>
      </c>
      <c r="G81" s="19" t="s">
        <v>1159</v>
      </c>
      <c r="H81" s="19" t="s">
        <v>333</v>
      </c>
      <c r="I81" s="19" t="s">
        <v>35</v>
      </c>
      <c r="J81" s="19" t="s">
        <v>1057</v>
      </c>
      <c r="K81" s="0" t="n">
        <v>1</v>
      </c>
      <c r="L81" s="20" t="n">
        <v>229.9</v>
      </c>
      <c r="M81" s="20" t="n">
        <v>155.02</v>
      </c>
      <c r="N81" s="20" t="n">
        <v>229.9</v>
      </c>
      <c r="O81" s="20" t="n">
        <v>155.02</v>
      </c>
      <c r="P81" s="20" t="n">
        <v>74.88</v>
      </c>
      <c r="Q81" s="21" t="n">
        <v>0.3257</v>
      </c>
      <c r="R81" s="19" t="s">
        <v>1145</v>
      </c>
    </row>
    <row r="82" customFormat="false" ht="15" hidden="false" customHeight="false" outlineLevel="0" collapsed="false">
      <c r="A82" s="0" t="n">
        <v>81</v>
      </c>
      <c r="B82" s="18" t="n">
        <v>45052</v>
      </c>
      <c r="C82" s="0" t="n">
        <v>2023</v>
      </c>
      <c r="D82" s="0" t="n">
        <v>5</v>
      </c>
      <c r="E82" s="19" t="s">
        <v>937</v>
      </c>
      <c r="F82" s="19" t="s">
        <v>588</v>
      </c>
      <c r="G82" s="19" t="s">
        <v>1152</v>
      </c>
      <c r="H82" s="19" t="s">
        <v>333</v>
      </c>
      <c r="I82" s="19" t="s">
        <v>35</v>
      </c>
      <c r="J82" s="19" t="s">
        <v>1158</v>
      </c>
      <c r="K82" s="0" t="n">
        <v>1</v>
      </c>
      <c r="L82" s="20" t="n">
        <v>440.27</v>
      </c>
      <c r="M82" s="20" t="n">
        <v>294.63</v>
      </c>
      <c r="N82" s="20" t="n">
        <v>440.27</v>
      </c>
      <c r="O82" s="20" t="n">
        <v>294.63</v>
      </c>
      <c r="P82" s="20" t="n">
        <v>145.64</v>
      </c>
      <c r="Q82" s="21" t="n">
        <v>0.3308</v>
      </c>
      <c r="R82" s="19" t="s">
        <v>1145</v>
      </c>
    </row>
    <row r="83" customFormat="false" ht="15" hidden="false" customHeight="false" outlineLevel="0" collapsed="false">
      <c r="A83" s="0" t="n">
        <v>82</v>
      </c>
      <c r="B83" s="18" t="n">
        <v>45054</v>
      </c>
      <c r="C83" s="0" t="n">
        <v>2023</v>
      </c>
      <c r="D83" s="0" t="n">
        <v>5</v>
      </c>
      <c r="E83" s="19" t="s">
        <v>268</v>
      </c>
      <c r="F83" s="19" t="s">
        <v>853</v>
      </c>
      <c r="G83" s="19" t="s">
        <v>1148</v>
      </c>
      <c r="H83" s="19" t="s">
        <v>333</v>
      </c>
      <c r="I83" s="19" t="s">
        <v>54</v>
      </c>
      <c r="J83" s="19" t="s">
        <v>716</v>
      </c>
      <c r="K83" s="0" t="n">
        <v>2</v>
      </c>
      <c r="L83" s="20" t="n">
        <v>2665.62</v>
      </c>
      <c r="M83" s="20" t="n">
        <v>1866.18</v>
      </c>
      <c r="N83" s="20" t="n">
        <v>5331.24</v>
      </c>
      <c r="O83" s="20" t="n">
        <v>3732.36</v>
      </c>
      <c r="P83" s="20" t="n">
        <v>1598.88</v>
      </c>
      <c r="Q83" s="21" t="n">
        <v>0.2999</v>
      </c>
      <c r="R83" s="19" t="s">
        <v>1147</v>
      </c>
    </row>
    <row r="84" customFormat="false" ht="15" hidden="false" customHeight="false" outlineLevel="0" collapsed="false">
      <c r="A84" s="0" t="n">
        <v>83</v>
      </c>
      <c r="B84" s="18" t="n">
        <v>45056</v>
      </c>
      <c r="C84" s="0" t="n">
        <v>2023</v>
      </c>
      <c r="D84" s="0" t="n">
        <v>5</v>
      </c>
      <c r="E84" s="19" t="s">
        <v>782</v>
      </c>
      <c r="F84" s="19" t="s">
        <v>853</v>
      </c>
      <c r="G84" s="19" t="s">
        <v>1148</v>
      </c>
      <c r="H84" s="19" t="s">
        <v>362</v>
      </c>
      <c r="I84" s="19" t="s">
        <v>35</v>
      </c>
      <c r="J84" s="19" t="s">
        <v>1054</v>
      </c>
      <c r="K84" s="0" t="n">
        <v>2</v>
      </c>
      <c r="L84" s="20" t="n">
        <v>3116.23</v>
      </c>
      <c r="M84" s="20" t="n">
        <v>1848.39</v>
      </c>
      <c r="N84" s="20" t="n">
        <v>6232.46</v>
      </c>
      <c r="O84" s="20" t="n">
        <v>3696.78</v>
      </c>
      <c r="P84" s="20" t="n">
        <v>2535.68</v>
      </c>
      <c r="Q84" s="21" t="n">
        <v>0.4069</v>
      </c>
      <c r="R84" s="19" t="s">
        <v>1147</v>
      </c>
    </row>
    <row r="85" customFormat="false" ht="15" hidden="false" customHeight="false" outlineLevel="0" collapsed="false">
      <c r="A85" s="0" t="n">
        <v>84</v>
      </c>
      <c r="B85" s="18" t="n">
        <v>45057</v>
      </c>
      <c r="C85" s="0" t="n">
        <v>2023</v>
      </c>
      <c r="D85" s="0" t="n">
        <v>5</v>
      </c>
      <c r="E85" s="19" t="s">
        <v>204</v>
      </c>
      <c r="F85" s="19" t="s">
        <v>698</v>
      </c>
      <c r="G85" s="19" t="s">
        <v>252</v>
      </c>
      <c r="H85" s="19" t="s">
        <v>333</v>
      </c>
      <c r="I85" s="19" t="s">
        <v>35</v>
      </c>
      <c r="J85" s="19" t="s">
        <v>260</v>
      </c>
      <c r="K85" s="0" t="n">
        <v>1</v>
      </c>
      <c r="L85" s="20" t="n">
        <v>302.55</v>
      </c>
      <c r="M85" s="20" t="n">
        <v>209.45</v>
      </c>
      <c r="N85" s="20" t="n">
        <v>302.55</v>
      </c>
      <c r="O85" s="20" t="n">
        <v>209.45</v>
      </c>
      <c r="P85" s="20" t="n">
        <v>93.1</v>
      </c>
      <c r="Q85" s="21" t="n">
        <v>0.3077</v>
      </c>
      <c r="R85" s="19" t="s">
        <v>1145</v>
      </c>
    </row>
    <row r="86" customFormat="false" ht="15" hidden="false" customHeight="false" outlineLevel="0" collapsed="false">
      <c r="A86" s="0" t="n">
        <v>85</v>
      </c>
      <c r="B86" s="18" t="n">
        <v>45059</v>
      </c>
      <c r="C86" s="0" t="n">
        <v>2023</v>
      </c>
      <c r="D86" s="0" t="n">
        <v>5</v>
      </c>
      <c r="E86" s="19" t="s">
        <v>782</v>
      </c>
      <c r="F86" s="19" t="s">
        <v>588</v>
      </c>
      <c r="G86" s="19" t="s">
        <v>1152</v>
      </c>
      <c r="H86" s="19" t="s">
        <v>362</v>
      </c>
      <c r="I86" s="19" t="s">
        <v>35</v>
      </c>
      <c r="J86" s="19" t="s">
        <v>1158</v>
      </c>
      <c r="K86" s="0" t="n">
        <v>1</v>
      </c>
      <c r="L86" s="20" t="n">
        <v>583.71</v>
      </c>
      <c r="M86" s="20" t="n">
        <v>374.56</v>
      </c>
      <c r="N86" s="20" t="n">
        <v>583.71</v>
      </c>
      <c r="O86" s="20" t="n">
        <v>374.56</v>
      </c>
      <c r="P86" s="20" t="n">
        <v>209.15</v>
      </c>
      <c r="Q86" s="21" t="n">
        <v>0.3583</v>
      </c>
      <c r="R86" s="19" t="s">
        <v>1145</v>
      </c>
    </row>
    <row r="87" customFormat="false" ht="15" hidden="false" customHeight="false" outlineLevel="0" collapsed="false">
      <c r="A87" s="0" t="n">
        <v>86</v>
      </c>
      <c r="B87" s="18" t="n">
        <v>45069</v>
      </c>
      <c r="C87" s="0" t="n">
        <v>2023</v>
      </c>
      <c r="D87" s="0" t="n">
        <v>5</v>
      </c>
      <c r="E87" s="19" t="s">
        <v>782</v>
      </c>
      <c r="F87" s="19" t="s">
        <v>588</v>
      </c>
      <c r="G87" s="19" t="s">
        <v>1153</v>
      </c>
      <c r="H87" s="19" t="s">
        <v>362</v>
      </c>
      <c r="I87" s="19" t="s">
        <v>35</v>
      </c>
      <c r="J87" s="19" t="s">
        <v>1158</v>
      </c>
      <c r="K87" s="0" t="n">
        <v>1</v>
      </c>
      <c r="L87" s="20" t="n">
        <v>888.14</v>
      </c>
      <c r="M87" s="20" t="n">
        <v>688.24</v>
      </c>
      <c r="N87" s="20" t="n">
        <v>888.14</v>
      </c>
      <c r="O87" s="20" t="n">
        <v>688.24</v>
      </c>
      <c r="P87" s="20" t="n">
        <v>199.9</v>
      </c>
      <c r="Q87" s="21" t="n">
        <v>0.2251</v>
      </c>
      <c r="R87" s="19" t="s">
        <v>1145</v>
      </c>
    </row>
    <row r="88" customFormat="false" ht="15" hidden="false" customHeight="false" outlineLevel="0" collapsed="false">
      <c r="A88" s="0" t="n">
        <v>87</v>
      </c>
      <c r="B88" s="18" t="n">
        <v>45070</v>
      </c>
      <c r="C88" s="0" t="n">
        <v>2023</v>
      </c>
      <c r="D88" s="0" t="n">
        <v>5</v>
      </c>
      <c r="E88" s="19" t="s">
        <v>782</v>
      </c>
      <c r="F88" s="19" t="s">
        <v>958</v>
      </c>
      <c r="G88" s="19" t="s">
        <v>1150</v>
      </c>
      <c r="H88" s="19" t="s">
        <v>333</v>
      </c>
      <c r="I88" s="19" t="s">
        <v>35</v>
      </c>
      <c r="J88" s="19" t="s">
        <v>613</v>
      </c>
      <c r="K88" s="0" t="n">
        <v>1</v>
      </c>
      <c r="L88" s="20" t="n">
        <v>2814.58</v>
      </c>
      <c r="M88" s="20" t="n">
        <v>1646.86</v>
      </c>
      <c r="N88" s="20" t="n">
        <v>2814.58</v>
      </c>
      <c r="O88" s="20" t="n">
        <v>1646.86</v>
      </c>
      <c r="P88" s="20" t="n">
        <v>1167.72</v>
      </c>
      <c r="Q88" s="21" t="n">
        <v>0.4149</v>
      </c>
      <c r="R88" s="19" t="s">
        <v>1149</v>
      </c>
    </row>
    <row r="89" customFormat="false" ht="15" hidden="false" customHeight="false" outlineLevel="0" collapsed="false">
      <c r="A89" s="0" t="n">
        <v>88</v>
      </c>
      <c r="B89" s="18" t="n">
        <v>45071</v>
      </c>
      <c r="C89" s="0" t="n">
        <v>2023</v>
      </c>
      <c r="D89" s="0" t="n">
        <v>5</v>
      </c>
      <c r="E89" s="19" t="s">
        <v>782</v>
      </c>
      <c r="F89" s="19" t="s">
        <v>958</v>
      </c>
      <c r="G89" s="19" t="s">
        <v>572</v>
      </c>
      <c r="H89" s="19" t="s">
        <v>362</v>
      </c>
      <c r="I89" s="19" t="s">
        <v>54</v>
      </c>
      <c r="J89" s="19" t="s">
        <v>1161</v>
      </c>
      <c r="K89" s="0" t="n">
        <v>1</v>
      </c>
      <c r="L89" s="20" t="n">
        <v>2891.42</v>
      </c>
      <c r="M89" s="20" t="n">
        <v>2030.56</v>
      </c>
      <c r="N89" s="20" t="n">
        <v>2891.42</v>
      </c>
      <c r="O89" s="20" t="n">
        <v>2030.56</v>
      </c>
      <c r="P89" s="20" t="n">
        <v>860.86</v>
      </c>
      <c r="Q89" s="21" t="n">
        <v>0.2977</v>
      </c>
      <c r="R89" s="19" t="s">
        <v>1149</v>
      </c>
    </row>
    <row r="90" customFormat="false" ht="15" hidden="false" customHeight="false" outlineLevel="0" collapsed="false">
      <c r="A90" s="0" t="n">
        <v>89</v>
      </c>
      <c r="B90" s="18" t="n">
        <v>45072</v>
      </c>
      <c r="C90" s="0" t="n">
        <v>2023</v>
      </c>
      <c r="D90" s="0" t="n">
        <v>5</v>
      </c>
      <c r="E90" s="19" t="s">
        <v>937</v>
      </c>
      <c r="F90" s="19" t="s">
        <v>958</v>
      </c>
      <c r="G90" s="19" t="s">
        <v>1150</v>
      </c>
      <c r="H90" s="19" t="s">
        <v>333</v>
      </c>
      <c r="I90" s="19" t="s">
        <v>35</v>
      </c>
      <c r="J90" s="19" t="s">
        <v>180</v>
      </c>
      <c r="K90" s="0" t="n">
        <v>1</v>
      </c>
      <c r="L90" s="20" t="n">
        <v>1557.22</v>
      </c>
      <c r="M90" s="20" t="n">
        <v>954.57</v>
      </c>
      <c r="N90" s="20" t="n">
        <v>1557.22</v>
      </c>
      <c r="O90" s="20" t="n">
        <v>954.57</v>
      </c>
      <c r="P90" s="20" t="n">
        <v>602.65</v>
      </c>
      <c r="Q90" s="21" t="n">
        <v>0.387</v>
      </c>
      <c r="R90" s="19" t="s">
        <v>1149</v>
      </c>
    </row>
    <row r="91" customFormat="false" ht="15" hidden="false" customHeight="false" outlineLevel="0" collapsed="false">
      <c r="A91" s="0" t="n">
        <v>90</v>
      </c>
      <c r="B91" s="18" t="n">
        <v>45072</v>
      </c>
      <c r="C91" s="0" t="n">
        <v>2023</v>
      </c>
      <c r="D91" s="0" t="n">
        <v>5</v>
      </c>
      <c r="E91" s="19" t="s">
        <v>937</v>
      </c>
      <c r="F91" s="19" t="s">
        <v>958</v>
      </c>
      <c r="G91" s="19" t="s">
        <v>572</v>
      </c>
      <c r="H91" s="19" t="s">
        <v>362</v>
      </c>
      <c r="I91" s="19" t="s">
        <v>35</v>
      </c>
      <c r="J91" s="19" t="s">
        <v>1156</v>
      </c>
      <c r="K91" s="0" t="n">
        <v>1</v>
      </c>
      <c r="L91" s="20" t="n">
        <v>2172.69</v>
      </c>
      <c r="M91" s="20" t="n">
        <v>1612.87</v>
      </c>
      <c r="N91" s="20" t="n">
        <v>2172.69</v>
      </c>
      <c r="O91" s="20" t="n">
        <v>1612.87</v>
      </c>
      <c r="P91" s="20" t="n">
        <v>559.82</v>
      </c>
      <c r="Q91" s="21" t="n">
        <v>0.2577</v>
      </c>
      <c r="R91" s="19" t="s">
        <v>1149</v>
      </c>
    </row>
    <row r="92" customFormat="false" ht="15" hidden="false" customHeight="false" outlineLevel="0" collapsed="false">
      <c r="A92" s="0" t="n">
        <v>91</v>
      </c>
      <c r="B92" s="18" t="n">
        <v>45074</v>
      </c>
      <c r="C92" s="0" t="n">
        <v>2023</v>
      </c>
      <c r="D92" s="0" t="n">
        <v>5</v>
      </c>
      <c r="E92" s="19" t="s">
        <v>937</v>
      </c>
      <c r="F92" s="19" t="s">
        <v>958</v>
      </c>
      <c r="G92" s="19" t="s">
        <v>902</v>
      </c>
      <c r="H92" s="19" t="s">
        <v>333</v>
      </c>
      <c r="I92" s="19" t="s">
        <v>35</v>
      </c>
      <c r="J92" s="19" t="s">
        <v>377</v>
      </c>
      <c r="K92" s="0" t="n">
        <v>2</v>
      </c>
      <c r="L92" s="20" t="n">
        <v>2495.2</v>
      </c>
      <c r="M92" s="20" t="n">
        <v>1704.63</v>
      </c>
      <c r="N92" s="20" t="n">
        <v>4990.4</v>
      </c>
      <c r="O92" s="20" t="n">
        <v>3409.26</v>
      </c>
      <c r="P92" s="20" t="n">
        <v>1581.14</v>
      </c>
      <c r="Q92" s="21" t="n">
        <v>0.3168</v>
      </c>
      <c r="R92" s="19" t="s">
        <v>1147</v>
      </c>
    </row>
    <row r="93" customFormat="false" ht="15" hidden="false" customHeight="false" outlineLevel="0" collapsed="false">
      <c r="A93" s="0" t="n">
        <v>92</v>
      </c>
      <c r="B93" s="18" t="n">
        <v>45074</v>
      </c>
      <c r="C93" s="0" t="n">
        <v>2023</v>
      </c>
      <c r="D93" s="0" t="n">
        <v>5</v>
      </c>
      <c r="E93" s="19" t="s">
        <v>782</v>
      </c>
      <c r="F93" s="19" t="s">
        <v>588</v>
      </c>
      <c r="G93" s="19" t="s">
        <v>1159</v>
      </c>
      <c r="H93" s="19" t="s">
        <v>362</v>
      </c>
      <c r="I93" s="19" t="s">
        <v>54</v>
      </c>
      <c r="J93" s="19" t="s">
        <v>716</v>
      </c>
      <c r="K93" s="0" t="n">
        <v>2</v>
      </c>
      <c r="L93" s="20" t="n">
        <v>93.33</v>
      </c>
      <c r="M93" s="20" t="n">
        <v>68.84</v>
      </c>
      <c r="N93" s="20" t="n">
        <v>186.66</v>
      </c>
      <c r="O93" s="20" t="n">
        <v>137.68</v>
      </c>
      <c r="P93" s="20" t="n">
        <v>48.98</v>
      </c>
      <c r="Q93" s="21" t="n">
        <v>0.2624</v>
      </c>
      <c r="R93" s="19" t="s">
        <v>1145</v>
      </c>
    </row>
    <row r="94" customFormat="false" ht="15" hidden="false" customHeight="false" outlineLevel="0" collapsed="false">
      <c r="A94" s="0" t="n">
        <v>93</v>
      </c>
      <c r="B94" s="18" t="n">
        <v>45083</v>
      </c>
      <c r="C94" s="0" t="n">
        <v>2023</v>
      </c>
      <c r="D94" s="0" t="n">
        <v>6</v>
      </c>
      <c r="E94" s="19" t="s">
        <v>204</v>
      </c>
      <c r="F94" s="19" t="s">
        <v>698</v>
      </c>
      <c r="G94" s="19" t="s">
        <v>1157</v>
      </c>
      <c r="H94" s="19" t="s">
        <v>333</v>
      </c>
      <c r="I94" s="19" t="s">
        <v>35</v>
      </c>
      <c r="J94" s="19" t="s">
        <v>1048</v>
      </c>
      <c r="K94" s="0" t="n">
        <v>1</v>
      </c>
      <c r="L94" s="20" t="n">
        <v>267.32</v>
      </c>
      <c r="M94" s="20" t="n">
        <v>156.43</v>
      </c>
      <c r="N94" s="20" t="n">
        <v>267.32</v>
      </c>
      <c r="O94" s="20" t="n">
        <v>156.43</v>
      </c>
      <c r="P94" s="20" t="n">
        <v>110.89</v>
      </c>
      <c r="Q94" s="21" t="n">
        <v>0.4148</v>
      </c>
      <c r="R94" s="19" t="s">
        <v>1145</v>
      </c>
    </row>
    <row r="95" customFormat="false" ht="15" hidden="false" customHeight="false" outlineLevel="0" collapsed="false">
      <c r="A95" s="0" t="n">
        <v>94</v>
      </c>
      <c r="B95" s="18" t="n">
        <v>45092</v>
      </c>
      <c r="C95" s="0" t="n">
        <v>2023</v>
      </c>
      <c r="D95" s="0" t="n">
        <v>6</v>
      </c>
      <c r="E95" s="19" t="s">
        <v>782</v>
      </c>
      <c r="F95" s="19" t="s">
        <v>958</v>
      </c>
      <c r="G95" s="19" t="s">
        <v>1150</v>
      </c>
      <c r="H95" s="19" t="s">
        <v>333</v>
      </c>
      <c r="I95" s="19" t="s">
        <v>35</v>
      </c>
      <c r="J95" s="19" t="s">
        <v>180</v>
      </c>
      <c r="K95" s="0" t="n">
        <v>1</v>
      </c>
      <c r="L95" s="20" t="n">
        <v>2012.02</v>
      </c>
      <c r="M95" s="20" t="n">
        <v>1317.22</v>
      </c>
      <c r="N95" s="20" t="n">
        <v>2012.02</v>
      </c>
      <c r="O95" s="20" t="n">
        <v>1317.22</v>
      </c>
      <c r="P95" s="20" t="n">
        <v>694.8</v>
      </c>
      <c r="Q95" s="21" t="n">
        <v>0.3453</v>
      </c>
      <c r="R95" s="19" t="s">
        <v>1149</v>
      </c>
    </row>
    <row r="96" customFormat="false" ht="15" hidden="false" customHeight="false" outlineLevel="0" collapsed="false">
      <c r="A96" s="0" t="n">
        <v>95</v>
      </c>
      <c r="B96" s="18" t="n">
        <v>45092</v>
      </c>
      <c r="C96" s="0" t="n">
        <v>2023</v>
      </c>
      <c r="D96" s="0" t="n">
        <v>6</v>
      </c>
      <c r="E96" s="19" t="s">
        <v>782</v>
      </c>
      <c r="F96" s="19" t="s">
        <v>698</v>
      </c>
      <c r="G96" s="19" t="s">
        <v>173</v>
      </c>
      <c r="H96" s="19" t="s">
        <v>333</v>
      </c>
      <c r="I96" s="19" t="s">
        <v>35</v>
      </c>
      <c r="J96" s="19" t="s">
        <v>1156</v>
      </c>
      <c r="K96" s="0" t="n">
        <v>3</v>
      </c>
      <c r="L96" s="20" t="n">
        <v>298.5</v>
      </c>
      <c r="M96" s="20" t="n">
        <v>173.9</v>
      </c>
      <c r="N96" s="20" t="n">
        <v>895.5</v>
      </c>
      <c r="O96" s="20" t="n">
        <v>521.7</v>
      </c>
      <c r="P96" s="20" t="n">
        <v>373.8</v>
      </c>
      <c r="Q96" s="21" t="n">
        <v>0.4174</v>
      </c>
      <c r="R96" s="19" t="s">
        <v>1145</v>
      </c>
    </row>
    <row r="97" customFormat="false" ht="15" hidden="false" customHeight="false" outlineLevel="0" collapsed="false">
      <c r="A97" s="0" t="n">
        <v>96</v>
      </c>
      <c r="B97" s="18" t="n">
        <v>45094</v>
      </c>
      <c r="C97" s="0" t="n">
        <v>2023</v>
      </c>
      <c r="D97" s="0" t="n">
        <v>6</v>
      </c>
      <c r="E97" s="19" t="s">
        <v>204</v>
      </c>
      <c r="F97" s="19" t="s">
        <v>698</v>
      </c>
      <c r="G97" s="19" t="s">
        <v>173</v>
      </c>
      <c r="H97" s="19" t="s">
        <v>362</v>
      </c>
      <c r="I97" s="19" t="s">
        <v>54</v>
      </c>
      <c r="J97" s="19" t="s">
        <v>647</v>
      </c>
      <c r="K97" s="0" t="n">
        <v>1</v>
      </c>
      <c r="L97" s="20" t="n">
        <v>191.3</v>
      </c>
      <c r="M97" s="20" t="n">
        <v>125.03</v>
      </c>
      <c r="N97" s="20" t="n">
        <v>191.3</v>
      </c>
      <c r="O97" s="20" t="n">
        <v>125.03</v>
      </c>
      <c r="P97" s="20" t="n">
        <v>66.27</v>
      </c>
      <c r="Q97" s="21" t="n">
        <v>0.3464</v>
      </c>
      <c r="R97" s="19" t="s">
        <v>1145</v>
      </c>
    </row>
    <row r="98" customFormat="false" ht="15" hidden="false" customHeight="false" outlineLevel="0" collapsed="false">
      <c r="A98" s="0" t="n">
        <v>97</v>
      </c>
      <c r="B98" s="18" t="n">
        <v>45095</v>
      </c>
      <c r="C98" s="0" t="n">
        <v>2023</v>
      </c>
      <c r="D98" s="0" t="n">
        <v>6</v>
      </c>
      <c r="E98" s="19" t="s">
        <v>268</v>
      </c>
      <c r="F98" s="19" t="s">
        <v>960</v>
      </c>
      <c r="G98" s="19" t="s">
        <v>1154</v>
      </c>
      <c r="H98" s="19" t="s">
        <v>362</v>
      </c>
      <c r="I98" s="19" t="s">
        <v>35</v>
      </c>
      <c r="J98" s="19" t="s">
        <v>807</v>
      </c>
      <c r="K98" s="0" t="n">
        <v>2</v>
      </c>
      <c r="L98" s="20" t="n">
        <v>6121.64</v>
      </c>
      <c r="M98" s="20" t="n">
        <v>3401.33</v>
      </c>
      <c r="N98" s="20" t="n">
        <v>12243.28</v>
      </c>
      <c r="O98" s="20" t="n">
        <v>6802.66</v>
      </c>
      <c r="P98" s="20" t="n">
        <v>5440.62</v>
      </c>
      <c r="Q98" s="21" t="n">
        <v>0.4444</v>
      </c>
      <c r="R98" s="19" t="s">
        <v>1147</v>
      </c>
    </row>
    <row r="99" customFormat="false" ht="15" hidden="false" customHeight="false" outlineLevel="0" collapsed="false">
      <c r="A99" s="0" t="n">
        <v>98</v>
      </c>
      <c r="B99" s="18" t="n">
        <v>45096</v>
      </c>
      <c r="C99" s="0" t="n">
        <v>2023</v>
      </c>
      <c r="D99" s="0" t="n">
        <v>6</v>
      </c>
      <c r="E99" s="19" t="s">
        <v>937</v>
      </c>
      <c r="F99" s="19" t="s">
        <v>958</v>
      </c>
      <c r="G99" s="19" t="s">
        <v>1150</v>
      </c>
      <c r="H99" s="19" t="s">
        <v>333</v>
      </c>
      <c r="I99" s="19" t="s">
        <v>35</v>
      </c>
      <c r="J99" s="19" t="s">
        <v>613</v>
      </c>
      <c r="K99" s="0" t="n">
        <v>1</v>
      </c>
      <c r="L99" s="20" t="n">
        <v>1313.75</v>
      </c>
      <c r="M99" s="20" t="n">
        <v>1024.54</v>
      </c>
      <c r="N99" s="20" t="n">
        <v>1313.75</v>
      </c>
      <c r="O99" s="20" t="n">
        <v>1024.54</v>
      </c>
      <c r="P99" s="20" t="n">
        <v>289.21</v>
      </c>
      <c r="Q99" s="21" t="n">
        <v>0.2201</v>
      </c>
      <c r="R99" s="19" t="s">
        <v>1149</v>
      </c>
    </row>
    <row r="100" customFormat="false" ht="15" hidden="false" customHeight="false" outlineLevel="0" collapsed="false">
      <c r="A100" s="0" t="n">
        <v>99</v>
      </c>
      <c r="B100" s="18" t="n">
        <v>45096</v>
      </c>
      <c r="C100" s="0" t="n">
        <v>2023</v>
      </c>
      <c r="D100" s="0" t="n">
        <v>6</v>
      </c>
      <c r="E100" s="19" t="s">
        <v>937</v>
      </c>
      <c r="F100" s="19" t="s">
        <v>853</v>
      </c>
      <c r="G100" s="19" t="s">
        <v>1148</v>
      </c>
      <c r="H100" s="19" t="s">
        <v>362</v>
      </c>
      <c r="I100" s="19" t="s">
        <v>54</v>
      </c>
      <c r="J100" s="19" t="s">
        <v>1057</v>
      </c>
      <c r="K100" s="0" t="n">
        <v>1</v>
      </c>
      <c r="L100" s="20" t="n">
        <v>3174.91</v>
      </c>
      <c r="M100" s="20" t="n">
        <v>2352.8</v>
      </c>
      <c r="N100" s="20" t="n">
        <v>3174.91</v>
      </c>
      <c r="O100" s="20" t="n">
        <v>2352.8</v>
      </c>
      <c r="P100" s="20" t="n">
        <v>822.11</v>
      </c>
      <c r="Q100" s="21" t="n">
        <v>0.2589</v>
      </c>
      <c r="R100" s="19" t="s">
        <v>1147</v>
      </c>
    </row>
    <row r="101" customFormat="false" ht="15" hidden="false" customHeight="false" outlineLevel="0" collapsed="false">
      <c r="A101" s="0" t="n">
        <v>100</v>
      </c>
      <c r="B101" s="18" t="n">
        <v>45097</v>
      </c>
      <c r="C101" s="0" t="n">
        <v>2023</v>
      </c>
      <c r="D101" s="0" t="n">
        <v>6</v>
      </c>
      <c r="E101" s="19" t="s">
        <v>782</v>
      </c>
      <c r="F101" s="19" t="s">
        <v>588</v>
      </c>
      <c r="G101" s="19" t="s">
        <v>1152</v>
      </c>
      <c r="H101" s="19" t="s">
        <v>362</v>
      </c>
      <c r="I101" s="19" t="s">
        <v>35</v>
      </c>
      <c r="J101" s="19" t="s">
        <v>260</v>
      </c>
      <c r="K101" s="0" t="n">
        <v>1</v>
      </c>
      <c r="L101" s="20" t="n">
        <v>835.92</v>
      </c>
      <c r="M101" s="20" t="n">
        <v>599.37</v>
      </c>
      <c r="N101" s="20" t="n">
        <v>835.92</v>
      </c>
      <c r="O101" s="20" t="n">
        <v>599.37</v>
      </c>
      <c r="P101" s="20" t="n">
        <v>236.55</v>
      </c>
      <c r="Q101" s="21" t="n">
        <v>0.283</v>
      </c>
      <c r="R101" s="19" t="s">
        <v>1145</v>
      </c>
    </row>
    <row r="102" customFormat="false" ht="15" hidden="false" customHeight="false" outlineLevel="0" collapsed="false">
      <c r="A102" s="0" t="n">
        <v>101</v>
      </c>
      <c r="B102" s="18" t="n">
        <v>45099</v>
      </c>
      <c r="C102" s="0" t="n">
        <v>2023</v>
      </c>
      <c r="D102" s="0" t="n">
        <v>6</v>
      </c>
      <c r="E102" s="19" t="s">
        <v>204</v>
      </c>
      <c r="F102" s="19" t="s">
        <v>853</v>
      </c>
      <c r="G102" s="19" t="s">
        <v>365</v>
      </c>
      <c r="H102" s="19" t="s">
        <v>333</v>
      </c>
      <c r="I102" s="19" t="s">
        <v>35</v>
      </c>
      <c r="J102" s="19" t="s">
        <v>1048</v>
      </c>
      <c r="K102" s="0" t="n">
        <v>1</v>
      </c>
      <c r="L102" s="20" t="n">
        <v>2614.99</v>
      </c>
      <c r="M102" s="20" t="n">
        <v>1919.75</v>
      </c>
      <c r="N102" s="20" t="n">
        <v>2614.99</v>
      </c>
      <c r="O102" s="20" t="n">
        <v>1919.75</v>
      </c>
      <c r="P102" s="20" t="n">
        <v>695.24</v>
      </c>
      <c r="Q102" s="21" t="n">
        <v>0.2659</v>
      </c>
      <c r="R102" s="19" t="s">
        <v>1149</v>
      </c>
    </row>
    <row r="103" customFormat="false" ht="15" hidden="false" customHeight="false" outlineLevel="0" collapsed="false">
      <c r="A103" s="0" t="n">
        <v>102</v>
      </c>
      <c r="B103" s="18" t="n">
        <v>45099</v>
      </c>
      <c r="C103" s="0" t="n">
        <v>2023</v>
      </c>
      <c r="D103" s="0" t="n">
        <v>6</v>
      </c>
      <c r="E103" s="19" t="s">
        <v>268</v>
      </c>
      <c r="F103" s="19" t="s">
        <v>588</v>
      </c>
      <c r="G103" s="19" t="s">
        <v>1152</v>
      </c>
      <c r="H103" s="19" t="s">
        <v>333</v>
      </c>
      <c r="I103" s="19" t="s">
        <v>35</v>
      </c>
      <c r="J103" s="19" t="s">
        <v>1161</v>
      </c>
      <c r="K103" s="0" t="n">
        <v>1</v>
      </c>
      <c r="L103" s="20" t="n">
        <v>592.3</v>
      </c>
      <c r="M103" s="20" t="n">
        <v>408.35</v>
      </c>
      <c r="N103" s="20" t="n">
        <v>592.3</v>
      </c>
      <c r="O103" s="20" t="n">
        <v>408.35</v>
      </c>
      <c r="P103" s="20" t="n">
        <v>183.95</v>
      </c>
      <c r="Q103" s="21" t="n">
        <v>0.3106</v>
      </c>
      <c r="R103" s="19" t="s">
        <v>1145</v>
      </c>
    </row>
    <row r="104" customFormat="false" ht="15" hidden="false" customHeight="false" outlineLevel="0" collapsed="false">
      <c r="A104" s="0" t="n">
        <v>103</v>
      </c>
      <c r="B104" s="18" t="n">
        <v>45102</v>
      </c>
      <c r="C104" s="0" t="n">
        <v>2023</v>
      </c>
      <c r="D104" s="0" t="n">
        <v>6</v>
      </c>
      <c r="E104" s="19" t="s">
        <v>204</v>
      </c>
      <c r="F104" s="19" t="s">
        <v>958</v>
      </c>
      <c r="G104" s="19" t="s">
        <v>1150</v>
      </c>
      <c r="H104" s="19" t="s">
        <v>362</v>
      </c>
      <c r="I104" s="19" t="s">
        <v>54</v>
      </c>
      <c r="J104" s="19" t="s">
        <v>377</v>
      </c>
      <c r="K104" s="0" t="n">
        <v>1</v>
      </c>
      <c r="L104" s="20" t="n">
        <v>4341.37</v>
      </c>
      <c r="M104" s="20" t="n">
        <v>3149.64</v>
      </c>
      <c r="N104" s="20" t="n">
        <v>4341.37</v>
      </c>
      <c r="O104" s="20" t="n">
        <v>3149.64</v>
      </c>
      <c r="P104" s="20" t="n">
        <v>1191.73</v>
      </c>
      <c r="Q104" s="21" t="n">
        <v>0.2745</v>
      </c>
      <c r="R104" s="19" t="s">
        <v>1147</v>
      </c>
    </row>
    <row r="105" customFormat="false" ht="15" hidden="false" customHeight="false" outlineLevel="0" collapsed="false">
      <c r="A105" s="0" t="n">
        <v>104</v>
      </c>
      <c r="B105" s="18" t="n">
        <v>45102</v>
      </c>
      <c r="C105" s="0" t="n">
        <v>2023</v>
      </c>
      <c r="D105" s="0" t="n">
        <v>6</v>
      </c>
      <c r="E105" s="19" t="s">
        <v>782</v>
      </c>
      <c r="F105" s="19" t="s">
        <v>958</v>
      </c>
      <c r="G105" s="19" t="s">
        <v>572</v>
      </c>
      <c r="H105" s="19" t="s">
        <v>333</v>
      </c>
      <c r="I105" s="19" t="s">
        <v>54</v>
      </c>
      <c r="J105" s="19" t="s">
        <v>586</v>
      </c>
      <c r="K105" s="0" t="n">
        <v>1</v>
      </c>
      <c r="L105" s="20" t="n">
        <v>4026.44</v>
      </c>
      <c r="M105" s="20" t="n">
        <v>2298.02</v>
      </c>
      <c r="N105" s="20" t="n">
        <v>4026.44</v>
      </c>
      <c r="O105" s="20" t="n">
        <v>2298.02</v>
      </c>
      <c r="P105" s="20" t="n">
        <v>1728.42</v>
      </c>
      <c r="Q105" s="21" t="n">
        <v>0.4293</v>
      </c>
      <c r="R105" s="19" t="s">
        <v>1147</v>
      </c>
    </row>
    <row r="106" customFormat="false" ht="15" hidden="false" customHeight="false" outlineLevel="0" collapsed="false">
      <c r="A106" s="0" t="n">
        <v>105</v>
      </c>
      <c r="B106" s="18" t="n">
        <v>45107</v>
      </c>
      <c r="C106" s="0" t="n">
        <v>2023</v>
      </c>
      <c r="D106" s="0" t="n">
        <v>6</v>
      </c>
      <c r="E106" s="19" t="s">
        <v>782</v>
      </c>
      <c r="F106" s="19" t="s">
        <v>853</v>
      </c>
      <c r="G106" s="19" t="s">
        <v>365</v>
      </c>
      <c r="H106" s="19" t="s">
        <v>362</v>
      </c>
      <c r="I106" s="19" t="s">
        <v>35</v>
      </c>
      <c r="J106" s="19" t="s">
        <v>1156</v>
      </c>
      <c r="K106" s="0" t="n">
        <v>1</v>
      </c>
      <c r="L106" s="20" t="n">
        <v>1012.87</v>
      </c>
      <c r="M106" s="20" t="n">
        <v>692.89</v>
      </c>
      <c r="N106" s="20" t="n">
        <v>1012.87</v>
      </c>
      <c r="O106" s="20" t="n">
        <v>692.89</v>
      </c>
      <c r="P106" s="20" t="n">
        <v>319.98</v>
      </c>
      <c r="Q106" s="21" t="n">
        <v>0.3159</v>
      </c>
      <c r="R106" s="19" t="s">
        <v>1149</v>
      </c>
    </row>
    <row r="107" customFormat="false" ht="15" hidden="false" customHeight="false" outlineLevel="0" collapsed="false">
      <c r="A107" s="0" t="n">
        <v>106</v>
      </c>
      <c r="B107" s="18" t="n">
        <v>45109</v>
      </c>
      <c r="C107" s="0" t="n">
        <v>2023</v>
      </c>
      <c r="D107" s="0" t="n">
        <v>7</v>
      </c>
      <c r="E107" s="19" t="s">
        <v>782</v>
      </c>
      <c r="F107" s="19" t="s">
        <v>960</v>
      </c>
      <c r="G107" s="19" t="s">
        <v>1002</v>
      </c>
      <c r="H107" s="19" t="s">
        <v>362</v>
      </c>
      <c r="I107" s="19" t="s">
        <v>35</v>
      </c>
      <c r="J107" s="19" t="s">
        <v>741</v>
      </c>
      <c r="K107" s="0" t="n">
        <v>1</v>
      </c>
      <c r="L107" s="20" t="n">
        <v>3813.32</v>
      </c>
      <c r="M107" s="20" t="n">
        <v>2321.09</v>
      </c>
      <c r="N107" s="20" t="n">
        <v>3813.32</v>
      </c>
      <c r="O107" s="20" t="n">
        <v>2321.09</v>
      </c>
      <c r="P107" s="20" t="n">
        <v>1492.23</v>
      </c>
      <c r="Q107" s="21" t="n">
        <v>0.3913</v>
      </c>
      <c r="R107" s="19" t="s">
        <v>1147</v>
      </c>
    </row>
    <row r="108" customFormat="false" ht="15" hidden="false" customHeight="false" outlineLevel="0" collapsed="false">
      <c r="A108" s="0" t="n">
        <v>107</v>
      </c>
      <c r="B108" s="18" t="n">
        <v>45111</v>
      </c>
      <c r="C108" s="0" t="n">
        <v>2023</v>
      </c>
      <c r="D108" s="0" t="n">
        <v>7</v>
      </c>
      <c r="E108" s="19" t="s">
        <v>204</v>
      </c>
      <c r="F108" s="19" t="s">
        <v>853</v>
      </c>
      <c r="G108" s="19" t="s">
        <v>298</v>
      </c>
      <c r="H108" s="19" t="s">
        <v>362</v>
      </c>
      <c r="I108" s="19" t="s">
        <v>35</v>
      </c>
      <c r="J108" s="19" t="s">
        <v>831</v>
      </c>
      <c r="K108" s="0" t="n">
        <v>2</v>
      </c>
      <c r="L108" s="20" t="n">
        <v>1254.9</v>
      </c>
      <c r="M108" s="20" t="n">
        <v>909.99</v>
      </c>
      <c r="N108" s="20" t="n">
        <v>2509.8</v>
      </c>
      <c r="O108" s="20" t="n">
        <v>1819.98</v>
      </c>
      <c r="P108" s="20" t="n">
        <v>689.82</v>
      </c>
      <c r="Q108" s="21" t="n">
        <v>0.2749</v>
      </c>
      <c r="R108" s="19" t="s">
        <v>1149</v>
      </c>
    </row>
    <row r="109" customFormat="false" ht="15" hidden="false" customHeight="false" outlineLevel="0" collapsed="false">
      <c r="A109" s="0" t="n">
        <v>108</v>
      </c>
      <c r="B109" s="18" t="n">
        <v>45113</v>
      </c>
      <c r="C109" s="0" t="n">
        <v>2023</v>
      </c>
      <c r="D109" s="0" t="n">
        <v>7</v>
      </c>
      <c r="E109" s="19" t="s">
        <v>782</v>
      </c>
      <c r="F109" s="19" t="s">
        <v>853</v>
      </c>
      <c r="G109" s="19" t="s">
        <v>1148</v>
      </c>
      <c r="H109" s="19" t="s">
        <v>333</v>
      </c>
      <c r="I109" s="19" t="s">
        <v>35</v>
      </c>
      <c r="J109" s="19" t="s">
        <v>647</v>
      </c>
      <c r="K109" s="0" t="n">
        <v>1</v>
      </c>
      <c r="L109" s="20" t="n">
        <v>2174.86</v>
      </c>
      <c r="M109" s="20" t="n">
        <v>1468.46</v>
      </c>
      <c r="N109" s="20" t="n">
        <v>2174.86</v>
      </c>
      <c r="O109" s="20" t="n">
        <v>1468.46</v>
      </c>
      <c r="P109" s="20" t="n">
        <v>706.4</v>
      </c>
      <c r="Q109" s="21" t="n">
        <v>0.3248</v>
      </c>
      <c r="R109" s="19" t="s">
        <v>1149</v>
      </c>
    </row>
    <row r="110" customFormat="false" ht="15" hidden="false" customHeight="false" outlineLevel="0" collapsed="false">
      <c r="A110" s="0" t="n">
        <v>109</v>
      </c>
      <c r="B110" s="18" t="n">
        <v>45118</v>
      </c>
      <c r="C110" s="0" t="n">
        <v>2023</v>
      </c>
      <c r="D110" s="0" t="n">
        <v>7</v>
      </c>
      <c r="E110" s="19" t="s">
        <v>782</v>
      </c>
      <c r="F110" s="19" t="s">
        <v>588</v>
      </c>
      <c r="G110" s="19" t="s">
        <v>1151</v>
      </c>
      <c r="H110" s="19" t="s">
        <v>333</v>
      </c>
      <c r="I110" s="19" t="s">
        <v>35</v>
      </c>
      <c r="J110" s="19" t="s">
        <v>1048</v>
      </c>
      <c r="K110" s="0" t="n">
        <v>1</v>
      </c>
      <c r="L110" s="20" t="n">
        <v>663.6</v>
      </c>
      <c r="M110" s="20" t="n">
        <v>437.48</v>
      </c>
      <c r="N110" s="20" t="n">
        <v>663.6</v>
      </c>
      <c r="O110" s="20" t="n">
        <v>437.48</v>
      </c>
      <c r="P110" s="20" t="n">
        <v>226.12</v>
      </c>
      <c r="Q110" s="21" t="n">
        <v>0.3407</v>
      </c>
      <c r="R110" s="19" t="s">
        <v>1145</v>
      </c>
    </row>
    <row r="111" customFormat="false" ht="15" hidden="false" customHeight="false" outlineLevel="0" collapsed="false">
      <c r="A111" s="0" t="n">
        <v>110</v>
      </c>
      <c r="B111" s="18" t="n">
        <v>45121</v>
      </c>
      <c r="C111" s="0" t="n">
        <v>2023</v>
      </c>
      <c r="D111" s="0" t="n">
        <v>7</v>
      </c>
      <c r="E111" s="19" t="s">
        <v>685</v>
      </c>
      <c r="F111" s="19" t="s">
        <v>958</v>
      </c>
      <c r="G111" s="19" t="s">
        <v>881</v>
      </c>
      <c r="H111" s="19" t="s">
        <v>333</v>
      </c>
      <c r="I111" s="19" t="s">
        <v>35</v>
      </c>
      <c r="J111" s="19" t="s">
        <v>716</v>
      </c>
      <c r="K111" s="0" t="n">
        <v>1</v>
      </c>
      <c r="L111" s="20" t="n">
        <v>1781.26</v>
      </c>
      <c r="M111" s="20" t="n">
        <v>1332.14</v>
      </c>
      <c r="N111" s="20" t="n">
        <v>1781.26</v>
      </c>
      <c r="O111" s="20" t="n">
        <v>1332.14</v>
      </c>
      <c r="P111" s="20" t="n">
        <v>449.12</v>
      </c>
      <c r="Q111" s="21" t="n">
        <v>0.2521</v>
      </c>
      <c r="R111" s="19" t="s">
        <v>1149</v>
      </c>
    </row>
    <row r="112" customFormat="false" ht="15" hidden="false" customHeight="false" outlineLevel="0" collapsed="false">
      <c r="A112" s="0" t="n">
        <v>111</v>
      </c>
      <c r="B112" s="18" t="n">
        <v>45121</v>
      </c>
      <c r="C112" s="0" t="n">
        <v>2023</v>
      </c>
      <c r="D112" s="0" t="n">
        <v>7</v>
      </c>
      <c r="E112" s="19" t="s">
        <v>204</v>
      </c>
      <c r="F112" s="19" t="s">
        <v>698</v>
      </c>
      <c r="G112" s="19" t="s">
        <v>1157</v>
      </c>
      <c r="H112" s="19" t="s">
        <v>333</v>
      </c>
      <c r="I112" s="19" t="s">
        <v>35</v>
      </c>
      <c r="J112" s="19" t="s">
        <v>1067</v>
      </c>
      <c r="K112" s="0" t="n">
        <v>1</v>
      </c>
      <c r="L112" s="20" t="n">
        <v>158.53</v>
      </c>
      <c r="M112" s="20" t="n">
        <v>109.3</v>
      </c>
      <c r="N112" s="20" t="n">
        <v>158.53</v>
      </c>
      <c r="O112" s="20" t="n">
        <v>109.3</v>
      </c>
      <c r="P112" s="20" t="n">
        <v>49.23</v>
      </c>
      <c r="Q112" s="21" t="n">
        <v>0.3105</v>
      </c>
      <c r="R112" s="19" t="s">
        <v>1145</v>
      </c>
    </row>
    <row r="113" customFormat="false" ht="15" hidden="false" customHeight="false" outlineLevel="0" collapsed="false">
      <c r="A113" s="0" t="n">
        <v>112</v>
      </c>
      <c r="B113" s="18" t="n">
        <v>45121</v>
      </c>
      <c r="C113" s="0" t="n">
        <v>2023</v>
      </c>
      <c r="D113" s="0" t="n">
        <v>7</v>
      </c>
      <c r="E113" s="19" t="s">
        <v>268</v>
      </c>
      <c r="F113" s="19" t="s">
        <v>853</v>
      </c>
      <c r="G113" s="19" t="s">
        <v>1148</v>
      </c>
      <c r="H113" s="19" t="s">
        <v>333</v>
      </c>
      <c r="I113" s="19" t="s">
        <v>54</v>
      </c>
      <c r="J113" s="19" t="s">
        <v>758</v>
      </c>
      <c r="K113" s="0" t="n">
        <v>2</v>
      </c>
      <c r="L113" s="20" t="n">
        <v>955.73</v>
      </c>
      <c r="M113" s="20" t="n">
        <v>549.46</v>
      </c>
      <c r="N113" s="20" t="n">
        <v>1911.46</v>
      </c>
      <c r="O113" s="20" t="n">
        <v>1098.92</v>
      </c>
      <c r="P113" s="20" t="n">
        <v>812.54</v>
      </c>
      <c r="Q113" s="21" t="n">
        <v>0.4251</v>
      </c>
      <c r="R113" s="19" t="s">
        <v>1149</v>
      </c>
    </row>
    <row r="114" customFormat="false" ht="15" hidden="false" customHeight="false" outlineLevel="0" collapsed="false">
      <c r="A114" s="0" t="n">
        <v>113</v>
      </c>
      <c r="B114" s="18" t="n">
        <v>45124</v>
      </c>
      <c r="C114" s="0" t="n">
        <v>2023</v>
      </c>
      <c r="D114" s="0" t="n">
        <v>7</v>
      </c>
      <c r="E114" s="19" t="s">
        <v>937</v>
      </c>
      <c r="F114" s="19" t="s">
        <v>853</v>
      </c>
      <c r="G114" s="19" t="s">
        <v>1148</v>
      </c>
      <c r="H114" s="19" t="s">
        <v>362</v>
      </c>
      <c r="I114" s="19" t="s">
        <v>54</v>
      </c>
      <c r="J114" s="19" t="s">
        <v>647</v>
      </c>
      <c r="K114" s="0" t="n">
        <v>1</v>
      </c>
      <c r="L114" s="20" t="n">
        <v>1218.06</v>
      </c>
      <c r="M114" s="20" t="n">
        <v>942.83</v>
      </c>
      <c r="N114" s="20" t="n">
        <v>1218.06</v>
      </c>
      <c r="O114" s="20" t="n">
        <v>942.83</v>
      </c>
      <c r="P114" s="20" t="n">
        <v>275.23</v>
      </c>
      <c r="Q114" s="21" t="n">
        <v>0.226</v>
      </c>
      <c r="R114" s="19" t="s">
        <v>1149</v>
      </c>
    </row>
    <row r="115" customFormat="false" ht="15" hidden="false" customHeight="false" outlineLevel="0" collapsed="false">
      <c r="A115" s="0" t="n">
        <v>114</v>
      </c>
      <c r="B115" s="18" t="n">
        <v>45125</v>
      </c>
      <c r="C115" s="0" t="n">
        <v>2023</v>
      </c>
      <c r="D115" s="0" t="n">
        <v>7</v>
      </c>
      <c r="E115" s="19" t="s">
        <v>782</v>
      </c>
      <c r="F115" s="19" t="s">
        <v>958</v>
      </c>
      <c r="G115" s="19" t="s">
        <v>862</v>
      </c>
      <c r="H115" s="19" t="s">
        <v>333</v>
      </c>
      <c r="I115" s="19" t="s">
        <v>35</v>
      </c>
      <c r="J115" s="19" t="s">
        <v>1160</v>
      </c>
      <c r="K115" s="0" t="n">
        <v>1</v>
      </c>
      <c r="L115" s="20" t="n">
        <v>4058.28</v>
      </c>
      <c r="M115" s="20" t="n">
        <v>2566.84</v>
      </c>
      <c r="N115" s="20" t="n">
        <v>4058.28</v>
      </c>
      <c r="O115" s="20" t="n">
        <v>2566.84</v>
      </c>
      <c r="P115" s="20" t="n">
        <v>1491.44</v>
      </c>
      <c r="Q115" s="21" t="n">
        <v>0.3675</v>
      </c>
      <c r="R115" s="19" t="s">
        <v>1147</v>
      </c>
    </row>
    <row r="116" customFormat="false" ht="15" hidden="false" customHeight="false" outlineLevel="0" collapsed="false">
      <c r="A116" s="0" t="n">
        <v>115</v>
      </c>
      <c r="B116" s="18" t="n">
        <v>45132</v>
      </c>
      <c r="C116" s="0" t="n">
        <v>2023</v>
      </c>
      <c r="D116" s="0" t="n">
        <v>7</v>
      </c>
      <c r="E116" s="19" t="s">
        <v>268</v>
      </c>
      <c r="F116" s="19" t="s">
        <v>958</v>
      </c>
      <c r="G116" s="19" t="s">
        <v>862</v>
      </c>
      <c r="H116" s="19" t="s">
        <v>362</v>
      </c>
      <c r="I116" s="19" t="s">
        <v>54</v>
      </c>
      <c r="J116" s="19" t="s">
        <v>613</v>
      </c>
      <c r="K116" s="0" t="n">
        <v>1</v>
      </c>
      <c r="L116" s="20" t="n">
        <v>2209.14</v>
      </c>
      <c r="M116" s="20" t="n">
        <v>1601.17</v>
      </c>
      <c r="N116" s="20" t="n">
        <v>2209.14</v>
      </c>
      <c r="O116" s="20" t="n">
        <v>1601.17</v>
      </c>
      <c r="P116" s="20" t="n">
        <v>607.97</v>
      </c>
      <c r="Q116" s="21" t="n">
        <v>0.2752</v>
      </c>
      <c r="R116" s="19" t="s">
        <v>1149</v>
      </c>
    </row>
    <row r="117" customFormat="false" ht="15" hidden="false" customHeight="false" outlineLevel="0" collapsed="false">
      <c r="A117" s="0" t="n">
        <v>116</v>
      </c>
      <c r="B117" s="18" t="n">
        <v>45134</v>
      </c>
      <c r="C117" s="0" t="n">
        <v>2023</v>
      </c>
      <c r="D117" s="0" t="n">
        <v>7</v>
      </c>
      <c r="E117" s="19" t="s">
        <v>685</v>
      </c>
      <c r="F117" s="19" t="s">
        <v>960</v>
      </c>
      <c r="G117" s="19" t="s">
        <v>217</v>
      </c>
      <c r="H117" s="19" t="s">
        <v>362</v>
      </c>
      <c r="I117" s="19" t="s">
        <v>54</v>
      </c>
      <c r="J117" s="19" t="s">
        <v>1156</v>
      </c>
      <c r="K117" s="0" t="n">
        <v>1</v>
      </c>
      <c r="L117" s="20" t="n">
        <v>4479.63</v>
      </c>
      <c r="M117" s="20" t="n">
        <v>2769.03</v>
      </c>
      <c r="N117" s="20" t="n">
        <v>4479.63</v>
      </c>
      <c r="O117" s="20" t="n">
        <v>2769.03</v>
      </c>
      <c r="P117" s="20" t="n">
        <v>1710.6</v>
      </c>
      <c r="Q117" s="21" t="n">
        <v>0.3819</v>
      </c>
      <c r="R117" s="19" t="s">
        <v>1147</v>
      </c>
    </row>
    <row r="118" customFormat="false" ht="15" hidden="false" customHeight="false" outlineLevel="0" collapsed="false">
      <c r="A118" s="0" t="n">
        <v>117</v>
      </c>
      <c r="B118" s="18" t="n">
        <v>45136</v>
      </c>
      <c r="C118" s="0" t="n">
        <v>2023</v>
      </c>
      <c r="D118" s="0" t="n">
        <v>7</v>
      </c>
      <c r="E118" s="19" t="s">
        <v>204</v>
      </c>
      <c r="F118" s="19" t="s">
        <v>698</v>
      </c>
      <c r="G118" s="19" t="s">
        <v>774</v>
      </c>
      <c r="H118" s="19" t="s">
        <v>362</v>
      </c>
      <c r="I118" s="19" t="s">
        <v>35</v>
      </c>
      <c r="J118" s="19" t="s">
        <v>1158</v>
      </c>
      <c r="K118" s="0" t="n">
        <v>1</v>
      </c>
      <c r="L118" s="20" t="n">
        <v>325.15</v>
      </c>
      <c r="M118" s="20" t="n">
        <v>187.36</v>
      </c>
      <c r="N118" s="20" t="n">
        <v>325.15</v>
      </c>
      <c r="O118" s="20" t="n">
        <v>187.36</v>
      </c>
      <c r="P118" s="20" t="n">
        <v>137.79</v>
      </c>
      <c r="Q118" s="21" t="n">
        <v>0.4238</v>
      </c>
      <c r="R118" s="19" t="s">
        <v>1145</v>
      </c>
    </row>
    <row r="119" customFormat="false" ht="15" hidden="false" customHeight="false" outlineLevel="0" collapsed="false">
      <c r="A119" s="0" t="n">
        <v>118</v>
      </c>
      <c r="B119" s="18" t="n">
        <v>45137</v>
      </c>
      <c r="C119" s="0" t="n">
        <v>2023</v>
      </c>
      <c r="D119" s="0" t="n">
        <v>7</v>
      </c>
      <c r="E119" s="19" t="s">
        <v>685</v>
      </c>
      <c r="F119" s="19" t="s">
        <v>958</v>
      </c>
      <c r="G119" s="19" t="s">
        <v>902</v>
      </c>
      <c r="H119" s="19" t="s">
        <v>362</v>
      </c>
      <c r="I119" s="19" t="s">
        <v>35</v>
      </c>
      <c r="J119" s="19" t="s">
        <v>586</v>
      </c>
      <c r="K119" s="0" t="n">
        <v>1</v>
      </c>
      <c r="L119" s="20" t="n">
        <v>3593.1</v>
      </c>
      <c r="M119" s="20" t="n">
        <v>2586.58</v>
      </c>
      <c r="N119" s="20" t="n">
        <v>3593.1</v>
      </c>
      <c r="O119" s="20" t="n">
        <v>2586.58</v>
      </c>
      <c r="P119" s="20" t="n">
        <v>1006.52</v>
      </c>
      <c r="Q119" s="21" t="n">
        <v>0.2801</v>
      </c>
      <c r="R119" s="19" t="s">
        <v>1147</v>
      </c>
    </row>
    <row r="120" customFormat="false" ht="15" hidden="false" customHeight="false" outlineLevel="0" collapsed="false">
      <c r="A120" s="0" t="n">
        <v>119</v>
      </c>
      <c r="B120" s="18" t="n">
        <v>45137</v>
      </c>
      <c r="C120" s="0" t="n">
        <v>2023</v>
      </c>
      <c r="D120" s="0" t="n">
        <v>7</v>
      </c>
      <c r="E120" s="19" t="s">
        <v>268</v>
      </c>
      <c r="F120" s="19" t="s">
        <v>588</v>
      </c>
      <c r="G120" s="19" t="s">
        <v>1159</v>
      </c>
      <c r="H120" s="19" t="s">
        <v>333</v>
      </c>
      <c r="I120" s="19" t="s">
        <v>35</v>
      </c>
      <c r="J120" s="19" t="s">
        <v>1161</v>
      </c>
      <c r="K120" s="0" t="n">
        <v>1</v>
      </c>
      <c r="L120" s="20" t="n">
        <v>583.98</v>
      </c>
      <c r="M120" s="20" t="n">
        <v>404.11</v>
      </c>
      <c r="N120" s="20" t="n">
        <v>583.98</v>
      </c>
      <c r="O120" s="20" t="n">
        <v>404.11</v>
      </c>
      <c r="P120" s="20" t="n">
        <v>179.87</v>
      </c>
      <c r="Q120" s="21" t="n">
        <v>0.308</v>
      </c>
      <c r="R120" s="19" t="s">
        <v>1145</v>
      </c>
    </row>
    <row r="121" customFormat="false" ht="15" hidden="false" customHeight="false" outlineLevel="0" collapsed="false">
      <c r="A121" s="0" t="n">
        <v>120</v>
      </c>
      <c r="B121" s="18" t="n">
        <v>45139</v>
      </c>
      <c r="C121" s="0" t="n">
        <v>2023</v>
      </c>
      <c r="D121" s="0" t="n">
        <v>8</v>
      </c>
      <c r="E121" s="19" t="s">
        <v>204</v>
      </c>
      <c r="F121" s="19" t="s">
        <v>958</v>
      </c>
      <c r="G121" s="19" t="s">
        <v>572</v>
      </c>
      <c r="H121" s="19" t="s">
        <v>333</v>
      </c>
      <c r="I121" s="19" t="s">
        <v>35</v>
      </c>
      <c r="J121" s="19" t="s">
        <v>1161</v>
      </c>
      <c r="K121" s="0" t="n">
        <v>1</v>
      </c>
      <c r="L121" s="20" t="n">
        <v>2060.32</v>
      </c>
      <c r="M121" s="20" t="n">
        <v>1249.92</v>
      </c>
      <c r="N121" s="20" t="n">
        <v>2060.32</v>
      </c>
      <c r="O121" s="20" t="n">
        <v>1249.92</v>
      </c>
      <c r="P121" s="20" t="n">
        <v>810.4</v>
      </c>
      <c r="Q121" s="21" t="n">
        <v>0.3933</v>
      </c>
      <c r="R121" s="19" t="s">
        <v>1149</v>
      </c>
    </row>
    <row r="122" customFormat="false" ht="15" hidden="false" customHeight="false" outlineLevel="0" collapsed="false">
      <c r="A122" s="0" t="n">
        <v>121</v>
      </c>
      <c r="B122" s="18" t="n">
        <v>45141</v>
      </c>
      <c r="C122" s="0" t="n">
        <v>2023</v>
      </c>
      <c r="D122" s="0" t="n">
        <v>8</v>
      </c>
      <c r="E122" s="19" t="s">
        <v>204</v>
      </c>
      <c r="F122" s="19" t="s">
        <v>588</v>
      </c>
      <c r="G122" s="19" t="s">
        <v>1152</v>
      </c>
      <c r="H122" s="19" t="s">
        <v>333</v>
      </c>
      <c r="I122" s="19" t="s">
        <v>35</v>
      </c>
      <c r="J122" s="19" t="s">
        <v>716</v>
      </c>
      <c r="K122" s="0" t="n">
        <v>1</v>
      </c>
      <c r="L122" s="20" t="n">
        <v>540.69</v>
      </c>
      <c r="M122" s="20" t="n">
        <v>364.58</v>
      </c>
      <c r="N122" s="20" t="n">
        <v>540.69</v>
      </c>
      <c r="O122" s="20" t="n">
        <v>364.58</v>
      </c>
      <c r="P122" s="20" t="n">
        <v>176.11</v>
      </c>
      <c r="Q122" s="21" t="n">
        <v>0.3257</v>
      </c>
      <c r="R122" s="19" t="s">
        <v>1145</v>
      </c>
    </row>
    <row r="123" customFormat="false" ht="15" hidden="false" customHeight="false" outlineLevel="0" collapsed="false">
      <c r="A123" s="0" t="n">
        <v>122</v>
      </c>
      <c r="B123" s="18" t="n">
        <v>45142</v>
      </c>
      <c r="C123" s="0" t="n">
        <v>2023</v>
      </c>
      <c r="D123" s="0" t="n">
        <v>8</v>
      </c>
      <c r="E123" s="19" t="s">
        <v>268</v>
      </c>
      <c r="F123" s="19" t="s">
        <v>698</v>
      </c>
      <c r="G123" s="19" t="s">
        <v>252</v>
      </c>
      <c r="H123" s="19" t="s">
        <v>362</v>
      </c>
      <c r="I123" s="19" t="s">
        <v>35</v>
      </c>
      <c r="J123" s="19" t="s">
        <v>613</v>
      </c>
      <c r="K123" s="0" t="n">
        <v>1</v>
      </c>
      <c r="L123" s="20" t="n">
        <v>334.41</v>
      </c>
      <c r="M123" s="20" t="n">
        <v>205.99</v>
      </c>
      <c r="N123" s="20" t="n">
        <v>334.41</v>
      </c>
      <c r="O123" s="20" t="n">
        <v>205.99</v>
      </c>
      <c r="P123" s="20" t="n">
        <v>128.42</v>
      </c>
      <c r="Q123" s="21" t="n">
        <v>0.384</v>
      </c>
      <c r="R123" s="19" t="s">
        <v>1145</v>
      </c>
    </row>
    <row r="124" customFormat="false" ht="15" hidden="false" customHeight="false" outlineLevel="0" collapsed="false">
      <c r="A124" s="0" t="n">
        <v>123</v>
      </c>
      <c r="B124" s="18" t="n">
        <v>45143</v>
      </c>
      <c r="C124" s="0" t="n">
        <v>2023</v>
      </c>
      <c r="D124" s="0" t="n">
        <v>8</v>
      </c>
      <c r="E124" s="19" t="s">
        <v>268</v>
      </c>
      <c r="F124" s="19" t="s">
        <v>958</v>
      </c>
      <c r="G124" s="19" t="s">
        <v>862</v>
      </c>
      <c r="H124" s="19" t="s">
        <v>362</v>
      </c>
      <c r="I124" s="19" t="s">
        <v>35</v>
      </c>
      <c r="J124" s="19" t="s">
        <v>1057</v>
      </c>
      <c r="K124" s="0" t="n">
        <v>1</v>
      </c>
      <c r="L124" s="20" t="n">
        <v>2257.5</v>
      </c>
      <c r="M124" s="20" t="n">
        <v>1539.58</v>
      </c>
      <c r="N124" s="20" t="n">
        <v>2257.5</v>
      </c>
      <c r="O124" s="20" t="n">
        <v>1539.58</v>
      </c>
      <c r="P124" s="20" t="n">
        <v>717.92</v>
      </c>
      <c r="Q124" s="21" t="n">
        <v>0.318</v>
      </c>
      <c r="R124" s="19" t="s">
        <v>1149</v>
      </c>
    </row>
    <row r="125" customFormat="false" ht="15" hidden="false" customHeight="false" outlineLevel="0" collapsed="false">
      <c r="A125" s="0" t="n">
        <v>124</v>
      </c>
      <c r="B125" s="18" t="n">
        <v>45146</v>
      </c>
      <c r="C125" s="0" t="n">
        <v>2023</v>
      </c>
      <c r="D125" s="0" t="n">
        <v>8</v>
      </c>
      <c r="E125" s="19" t="s">
        <v>268</v>
      </c>
      <c r="F125" s="19" t="s">
        <v>588</v>
      </c>
      <c r="G125" s="19" t="s">
        <v>1152</v>
      </c>
      <c r="H125" s="19" t="s">
        <v>362</v>
      </c>
      <c r="I125" s="19" t="s">
        <v>35</v>
      </c>
      <c r="J125" s="19" t="s">
        <v>1054</v>
      </c>
      <c r="K125" s="0" t="n">
        <v>1</v>
      </c>
      <c r="L125" s="20" t="n">
        <v>767.27</v>
      </c>
      <c r="M125" s="20" t="n">
        <v>514.9</v>
      </c>
      <c r="N125" s="20" t="n">
        <v>767.27</v>
      </c>
      <c r="O125" s="20" t="n">
        <v>514.9</v>
      </c>
      <c r="P125" s="20" t="n">
        <v>252.37</v>
      </c>
      <c r="Q125" s="21" t="n">
        <v>0.3289</v>
      </c>
      <c r="R125" s="19" t="s">
        <v>1145</v>
      </c>
    </row>
    <row r="126" customFormat="false" ht="15" hidden="false" customHeight="false" outlineLevel="0" collapsed="false">
      <c r="A126" s="0" t="n">
        <v>125</v>
      </c>
      <c r="B126" s="18" t="n">
        <v>45147</v>
      </c>
      <c r="C126" s="0" t="n">
        <v>2023</v>
      </c>
      <c r="D126" s="0" t="n">
        <v>8</v>
      </c>
      <c r="E126" s="19" t="s">
        <v>782</v>
      </c>
      <c r="F126" s="19" t="s">
        <v>588</v>
      </c>
      <c r="G126" s="19" t="s">
        <v>1159</v>
      </c>
      <c r="H126" s="19" t="s">
        <v>362</v>
      </c>
      <c r="I126" s="19" t="s">
        <v>35</v>
      </c>
      <c r="J126" s="19" t="s">
        <v>647</v>
      </c>
      <c r="K126" s="0" t="n">
        <v>2</v>
      </c>
      <c r="L126" s="20" t="n">
        <v>449.75</v>
      </c>
      <c r="M126" s="20" t="n">
        <v>316.51</v>
      </c>
      <c r="N126" s="20" t="n">
        <v>899.5</v>
      </c>
      <c r="O126" s="20" t="n">
        <v>633.02</v>
      </c>
      <c r="P126" s="20" t="n">
        <v>266.48</v>
      </c>
      <c r="Q126" s="21" t="n">
        <v>0.2963</v>
      </c>
      <c r="R126" s="19" t="s">
        <v>1145</v>
      </c>
    </row>
    <row r="127" customFormat="false" ht="15" hidden="false" customHeight="false" outlineLevel="0" collapsed="false">
      <c r="A127" s="0" t="n">
        <v>126</v>
      </c>
      <c r="B127" s="18" t="n">
        <v>45147</v>
      </c>
      <c r="C127" s="0" t="n">
        <v>2023</v>
      </c>
      <c r="D127" s="0" t="n">
        <v>8</v>
      </c>
      <c r="E127" s="19" t="s">
        <v>685</v>
      </c>
      <c r="F127" s="19" t="s">
        <v>958</v>
      </c>
      <c r="G127" s="19" t="s">
        <v>1150</v>
      </c>
      <c r="H127" s="19" t="s">
        <v>333</v>
      </c>
      <c r="I127" s="19" t="s">
        <v>35</v>
      </c>
      <c r="J127" s="19" t="s">
        <v>1161</v>
      </c>
      <c r="K127" s="0" t="n">
        <v>2</v>
      </c>
      <c r="L127" s="20" t="n">
        <v>2863.79</v>
      </c>
      <c r="M127" s="20" t="n">
        <v>1881.16</v>
      </c>
      <c r="N127" s="20" t="n">
        <v>5727.58</v>
      </c>
      <c r="O127" s="20" t="n">
        <v>3762.32</v>
      </c>
      <c r="P127" s="20" t="n">
        <v>1965.26</v>
      </c>
      <c r="Q127" s="21" t="n">
        <v>0.3431</v>
      </c>
      <c r="R127" s="19" t="s">
        <v>1147</v>
      </c>
    </row>
    <row r="128" customFormat="false" ht="15" hidden="false" customHeight="false" outlineLevel="0" collapsed="false">
      <c r="A128" s="0" t="n">
        <v>127</v>
      </c>
      <c r="B128" s="18" t="n">
        <v>45148</v>
      </c>
      <c r="C128" s="0" t="n">
        <v>2023</v>
      </c>
      <c r="D128" s="0" t="n">
        <v>8</v>
      </c>
      <c r="E128" s="19" t="s">
        <v>782</v>
      </c>
      <c r="F128" s="19" t="s">
        <v>588</v>
      </c>
      <c r="G128" s="19" t="s">
        <v>1152</v>
      </c>
      <c r="H128" s="19" t="s">
        <v>333</v>
      </c>
      <c r="I128" s="19" t="s">
        <v>35</v>
      </c>
      <c r="J128" s="19" t="s">
        <v>1057</v>
      </c>
      <c r="K128" s="0" t="n">
        <v>1</v>
      </c>
      <c r="L128" s="20" t="n">
        <v>482.3</v>
      </c>
      <c r="M128" s="20" t="n">
        <v>325.21</v>
      </c>
      <c r="N128" s="20" t="n">
        <v>482.3</v>
      </c>
      <c r="O128" s="20" t="n">
        <v>325.21</v>
      </c>
      <c r="P128" s="20" t="n">
        <v>157.09</v>
      </c>
      <c r="Q128" s="21" t="n">
        <v>0.3257</v>
      </c>
      <c r="R128" s="19" t="s">
        <v>1145</v>
      </c>
    </row>
    <row r="129" customFormat="false" ht="15" hidden="false" customHeight="false" outlineLevel="0" collapsed="false">
      <c r="A129" s="0" t="n">
        <v>128</v>
      </c>
      <c r="B129" s="18" t="n">
        <v>45150</v>
      </c>
      <c r="C129" s="0" t="n">
        <v>2023</v>
      </c>
      <c r="D129" s="0" t="n">
        <v>8</v>
      </c>
      <c r="E129" s="19" t="s">
        <v>782</v>
      </c>
      <c r="F129" s="19" t="s">
        <v>853</v>
      </c>
      <c r="G129" s="19" t="s">
        <v>1148</v>
      </c>
      <c r="H129" s="19" t="s">
        <v>333</v>
      </c>
      <c r="I129" s="19" t="s">
        <v>35</v>
      </c>
      <c r="J129" s="19" t="s">
        <v>180</v>
      </c>
      <c r="K129" s="0" t="n">
        <v>2</v>
      </c>
      <c r="L129" s="20" t="n">
        <v>2609.96</v>
      </c>
      <c r="M129" s="20" t="n">
        <v>1733.47</v>
      </c>
      <c r="N129" s="20" t="n">
        <v>5219.92</v>
      </c>
      <c r="O129" s="20" t="n">
        <v>3466.94</v>
      </c>
      <c r="P129" s="20" t="n">
        <v>1752.98</v>
      </c>
      <c r="Q129" s="21" t="n">
        <v>0.3358</v>
      </c>
      <c r="R129" s="19" t="s">
        <v>1147</v>
      </c>
    </row>
    <row r="130" customFormat="false" ht="15" hidden="false" customHeight="false" outlineLevel="0" collapsed="false">
      <c r="A130" s="0" t="n">
        <v>129</v>
      </c>
      <c r="B130" s="18" t="n">
        <v>45153</v>
      </c>
      <c r="C130" s="0" t="n">
        <v>2023</v>
      </c>
      <c r="D130" s="0" t="n">
        <v>8</v>
      </c>
      <c r="E130" s="19" t="s">
        <v>782</v>
      </c>
      <c r="F130" s="19" t="s">
        <v>958</v>
      </c>
      <c r="G130" s="19" t="s">
        <v>881</v>
      </c>
      <c r="H130" s="19" t="s">
        <v>333</v>
      </c>
      <c r="I130" s="19" t="s">
        <v>35</v>
      </c>
      <c r="J130" s="19" t="s">
        <v>758</v>
      </c>
      <c r="K130" s="0" t="n">
        <v>1</v>
      </c>
      <c r="L130" s="20" t="n">
        <v>3010.43</v>
      </c>
      <c r="M130" s="20" t="n">
        <v>1768.74</v>
      </c>
      <c r="N130" s="20" t="n">
        <v>3010.43</v>
      </c>
      <c r="O130" s="20" t="n">
        <v>1768.74</v>
      </c>
      <c r="P130" s="20" t="n">
        <v>1241.69</v>
      </c>
      <c r="Q130" s="21" t="n">
        <v>0.4125</v>
      </c>
      <c r="R130" s="19" t="s">
        <v>1147</v>
      </c>
    </row>
    <row r="131" customFormat="false" ht="15" hidden="false" customHeight="false" outlineLevel="0" collapsed="false">
      <c r="A131" s="0" t="n">
        <v>130</v>
      </c>
      <c r="B131" s="18" t="n">
        <v>45153</v>
      </c>
      <c r="C131" s="0" t="n">
        <v>2023</v>
      </c>
      <c r="D131" s="0" t="n">
        <v>8</v>
      </c>
      <c r="E131" s="19" t="s">
        <v>937</v>
      </c>
      <c r="F131" s="19" t="s">
        <v>958</v>
      </c>
      <c r="G131" s="19" t="s">
        <v>1150</v>
      </c>
      <c r="H131" s="19" t="s">
        <v>362</v>
      </c>
      <c r="I131" s="19" t="s">
        <v>35</v>
      </c>
      <c r="J131" s="19" t="s">
        <v>716</v>
      </c>
      <c r="K131" s="0" t="n">
        <v>1</v>
      </c>
      <c r="L131" s="20" t="n">
        <v>2567.37</v>
      </c>
      <c r="M131" s="20" t="n">
        <v>1577.18</v>
      </c>
      <c r="N131" s="20" t="n">
        <v>2567.37</v>
      </c>
      <c r="O131" s="20" t="n">
        <v>1577.18</v>
      </c>
      <c r="P131" s="20" t="n">
        <v>990.19</v>
      </c>
      <c r="Q131" s="21" t="n">
        <v>0.3857</v>
      </c>
      <c r="R131" s="19" t="s">
        <v>1149</v>
      </c>
    </row>
    <row r="132" customFormat="false" ht="15" hidden="false" customHeight="false" outlineLevel="0" collapsed="false">
      <c r="A132" s="0" t="n">
        <v>131</v>
      </c>
      <c r="B132" s="18" t="n">
        <v>45155</v>
      </c>
      <c r="C132" s="0" t="n">
        <v>2023</v>
      </c>
      <c r="D132" s="0" t="n">
        <v>8</v>
      </c>
      <c r="E132" s="19" t="s">
        <v>782</v>
      </c>
      <c r="F132" s="19" t="s">
        <v>698</v>
      </c>
      <c r="G132" s="19" t="s">
        <v>1157</v>
      </c>
      <c r="H132" s="19" t="s">
        <v>333</v>
      </c>
      <c r="I132" s="19" t="s">
        <v>35</v>
      </c>
      <c r="J132" s="19" t="s">
        <v>180</v>
      </c>
      <c r="K132" s="0" t="n">
        <v>1</v>
      </c>
      <c r="L132" s="20" t="n">
        <v>90.26</v>
      </c>
      <c r="M132" s="20" t="n">
        <v>51.94</v>
      </c>
      <c r="N132" s="20" t="n">
        <v>90.26</v>
      </c>
      <c r="O132" s="20" t="n">
        <v>51.94</v>
      </c>
      <c r="P132" s="20" t="n">
        <v>38.32</v>
      </c>
      <c r="Q132" s="21" t="n">
        <v>0.4246</v>
      </c>
      <c r="R132" s="19" t="s">
        <v>1145</v>
      </c>
    </row>
    <row r="133" customFormat="false" ht="15" hidden="false" customHeight="false" outlineLevel="0" collapsed="false">
      <c r="A133" s="0" t="n">
        <v>132</v>
      </c>
      <c r="B133" s="18" t="n">
        <v>45156</v>
      </c>
      <c r="C133" s="0" t="n">
        <v>2023</v>
      </c>
      <c r="D133" s="0" t="n">
        <v>8</v>
      </c>
      <c r="E133" s="19" t="s">
        <v>268</v>
      </c>
      <c r="F133" s="19" t="s">
        <v>698</v>
      </c>
      <c r="G133" s="19" t="s">
        <v>173</v>
      </c>
      <c r="H133" s="19" t="s">
        <v>362</v>
      </c>
      <c r="I133" s="19" t="s">
        <v>35</v>
      </c>
      <c r="J133" s="19" t="s">
        <v>1048</v>
      </c>
      <c r="K133" s="0" t="n">
        <v>1</v>
      </c>
      <c r="L133" s="20" t="n">
        <v>195.09</v>
      </c>
      <c r="M133" s="20" t="n">
        <v>130</v>
      </c>
      <c r="N133" s="20" t="n">
        <v>195.09</v>
      </c>
      <c r="O133" s="20" t="n">
        <v>130</v>
      </c>
      <c r="P133" s="20" t="n">
        <v>65.09</v>
      </c>
      <c r="Q133" s="21" t="n">
        <v>0.3336</v>
      </c>
      <c r="R133" s="19" t="s">
        <v>1145</v>
      </c>
    </row>
    <row r="134" customFormat="false" ht="15" hidden="false" customHeight="false" outlineLevel="0" collapsed="false">
      <c r="A134" s="0" t="n">
        <v>133</v>
      </c>
      <c r="B134" s="18" t="n">
        <v>45157</v>
      </c>
      <c r="C134" s="0" t="n">
        <v>2023</v>
      </c>
      <c r="D134" s="0" t="n">
        <v>8</v>
      </c>
      <c r="E134" s="19" t="s">
        <v>782</v>
      </c>
      <c r="F134" s="19" t="s">
        <v>960</v>
      </c>
      <c r="G134" s="19" t="s">
        <v>1162</v>
      </c>
      <c r="H134" s="19" t="s">
        <v>333</v>
      </c>
      <c r="I134" s="19" t="s">
        <v>35</v>
      </c>
      <c r="J134" s="19" t="s">
        <v>1067</v>
      </c>
      <c r="K134" s="0" t="n">
        <v>1</v>
      </c>
      <c r="L134" s="20" t="n">
        <v>3199.74</v>
      </c>
      <c r="M134" s="20" t="n">
        <v>2385.79</v>
      </c>
      <c r="N134" s="20" t="n">
        <v>3199.74</v>
      </c>
      <c r="O134" s="20" t="n">
        <v>2385.79</v>
      </c>
      <c r="P134" s="20" t="n">
        <v>813.95</v>
      </c>
      <c r="Q134" s="21" t="n">
        <v>0.2544</v>
      </c>
      <c r="R134" s="19" t="s">
        <v>1147</v>
      </c>
    </row>
    <row r="135" customFormat="false" ht="15" hidden="false" customHeight="false" outlineLevel="0" collapsed="false">
      <c r="A135" s="0" t="n">
        <v>134</v>
      </c>
      <c r="B135" s="18" t="n">
        <v>45158</v>
      </c>
      <c r="C135" s="0" t="n">
        <v>2023</v>
      </c>
      <c r="D135" s="0" t="n">
        <v>8</v>
      </c>
      <c r="E135" s="19" t="s">
        <v>204</v>
      </c>
      <c r="F135" s="19" t="s">
        <v>958</v>
      </c>
      <c r="G135" s="19" t="s">
        <v>1150</v>
      </c>
      <c r="H135" s="19" t="s">
        <v>362</v>
      </c>
      <c r="I135" s="19" t="s">
        <v>35</v>
      </c>
      <c r="J135" s="19" t="s">
        <v>831</v>
      </c>
      <c r="K135" s="0" t="n">
        <v>1</v>
      </c>
      <c r="L135" s="20" t="n">
        <v>4466.42</v>
      </c>
      <c r="M135" s="20" t="n">
        <v>2592.69</v>
      </c>
      <c r="N135" s="20" t="n">
        <v>4466.42</v>
      </c>
      <c r="O135" s="20" t="n">
        <v>2592.69</v>
      </c>
      <c r="P135" s="20" t="n">
        <v>1873.73</v>
      </c>
      <c r="Q135" s="21" t="n">
        <v>0.4195</v>
      </c>
      <c r="R135" s="19" t="s">
        <v>1147</v>
      </c>
    </row>
    <row r="136" customFormat="false" ht="15" hidden="false" customHeight="false" outlineLevel="0" collapsed="false">
      <c r="A136" s="0" t="n">
        <v>135</v>
      </c>
      <c r="B136" s="18" t="n">
        <v>45159</v>
      </c>
      <c r="C136" s="0" t="n">
        <v>2023</v>
      </c>
      <c r="D136" s="0" t="n">
        <v>8</v>
      </c>
      <c r="E136" s="19" t="s">
        <v>782</v>
      </c>
      <c r="F136" s="19" t="s">
        <v>960</v>
      </c>
      <c r="G136" s="19" t="s">
        <v>1002</v>
      </c>
      <c r="H136" s="19" t="s">
        <v>362</v>
      </c>
      <c r="I136" s="19" t="s">
        <v>35</v>
      </c>
      <c r="J136" s="19" t="s">
        <v>758</v>
      </c>
      <c r="K136" s="0" t="n">
        <v>1</v>
      </c>
      <c r="L136" s="20" t="n">
        <v>2953.35</v>
      </c>
      <c r="M136" s="20" t="n">
        <v>2227.37</v>
      </c>
      <c r="N136" s="20" t="n">
        <v>2953.35</v>
      </c>
      <c r="O136" s="20" t="n">
        <v>2227.37</v>
      </c>
      <c r="P136" s="20" t="n">
        <v>725.98</v>
      </c>
      <c r="Q136" s="21" t="n">
        <v>0.2458</v>
      </c>
      <c r="R136" s="19" t="s">
        <v>1149</v>
      </c>
    </row>
    <row r="137" customFormat="false" ht="15" hidden="false" customHeight="false" outlineLevel="0" collapsed="false">
      <c r="A137" s="0" t="n">
        <v>136</v>
      </c>
      <c r="B137" s="18" t="n">
        <v>45164</v>
      </c>
      <c r="C137" s="0" t="n">
        <v>2023</v>
      </c>
      <c r="D137" s="0" t="n">
        <v>8</v>
      </c>
      <c r="E137" s="19" t="s">
        <v>268</v>
      </c>
      <c r="F137" s="19" t="s">
        <v>698</v>
      </c>
      <c r="G137" s="19" t="s">
        <v>774</v>
      </c>
      <c r="H137" s="19" t="s">
        <v>333</v>
      </c>
      <c r="I137" s="19" t="s">
        <v>35</v>
      </c>
      <c r="J137" s="19" t="s">
        <v>1158</v>
      </c>
      <c r="K137" s="0" t="n">
        <v>1</v>
      </c>
      <c r="L137" s="20" t="n">
        <v>73</v>
      </c>
      <c r="M137" s="20" t="n">
        <v>41.28</v>
      </c>
      <c r="N137" s="20" t="n">
        <v>73</v>
      </c>
      <c r="O137" s="20" t="n">
        <v>41.28</v>
      </c>
      <c r="P137" s="20" t="n">
        <v>31.72</v>
      </c>
      <c r="Q137" s="21" t="n">
        <v>0.4345</v>
      </c>
      <c r="R137" s="19" t="s">
        <v>1145</v>
      </c>
    </row>
    <row r="138" customFormat="false" ht="15" hidden="false" customHeight="false" outlineLevel="0" collapsed="false">
      <c r="A138" s="0" t="n">
        <v>137</v>
      </c>
      <c r="B138" s="18" t="n">
        <v>45166</v>
      </c>
      <c r="C138" s="0" t="n">
        <v>2023</v>
      </c>
      <c r="D138" s="0" t="n">
        <v>8</v>
      </c>
      <c r="E138" s="19" t="s">
        <v>782</v>
      </c>
      <c r="F138" s="19" t="s">
        <v>698</v>
      </c>
      <c r="G138" s="19" t="s">
        <v>173</v>
      </c>
      <c r="H138" s="19" t="s">
        <v>333</v>
      </c>
      <c r="I138" s="19" t="s">
        <v>35</v>
      </c>
      <c r="J138" s="19" t="s">
        <v>758</v>
      </c>
      <c r="K138" s="0" t="n">
        <v>1</v>
      </c>
      <c r="L138" s="20" t="n">
        <v>290.76</v>
      </c>
      <c r="M138" s="20" t="n">
        <v>178.88</v>
      </c>
      <c r="N138" s="20" t="n">
        <v>290.76</v>
      </c>
      <c r="O138" s="20" t="n">
        <v>178.88</v>
      </c>
      <c r="P138" s="20" t="n">
        <v>111.88</v>
      </c>
      <c r="Q138" s="21" t="n">
        <v>0.3848</v>
      </c>
      <c r="R138" s="19" t="s">
        <v>1145</v>
      </c>
    </row>
    <row r="139" customFormat="false" ht="15" hidden="false" customHeight="false" outlineLevel="0" collapsed="false">
      <c r="A139" s="0" t="n">
        <v>138</v>
      </c>
      <c r="B139" s="18" t="n">
        <v>45166</v>
      </c>
      <c r="C139" s="0" t="n">
        <v>2023</v>
      </c>
      <c r="D139" s="0" t="n">
        <v>8</v>
      </c>
      <c r="E139" s="19" t="s">
        <v>782</v>
      </c>
      <c r="F139" s="19" t="s">
        <v>588</v>
      </c>
      <c r="G139" s="19" t="s">
        <v>1159</v>
      </c>
      <c r="H139" s="19" t="s">
        <v>333</v>
      </c>
      <c r="I139" s="19" t="s">
        <v>35</v>
      </c>
      <c r="J139" s="19" t="s">
        <v>758</v>
      </c>
      <c r="K139" s="0" t="n">
        <v>1</v>
      </c>
      <c r="L139" s="20" t="n">
        <v>882.98</v>
      </c>
      <c r="M139" s="20" t="n">
        <v>595.38</v>
      </c>
      <c r="N139" s="20" t="n">
        <v>882.98</v>
      </c>
      <c r="O139" s="20" t="n">
        <v>595.38</v>
      </c>
      <c r="P139" s="20" t="n">
        <v>287.6</v>
      </c>
      <c r="Q139" s="21" t="n">
        <v>0.3257</v>
      </c>
      <c r="R139" s="19" t="s">
        <v>1145</v>
      </c>
    </row>
    <row r="140" customFormat="false" ht="15" hidden="false" customHeight="false" outlineLevel="0" collapsed="false">
      <c r="A140" s="0" t="n">
        <v>139</v>
      </c>
      <c r="B140" s="18" t="n">
        <v>45167</v>
      </c>
      <c r="C140" s="0" t="n">
        <v>2023</v>
      </c>
      <c r="D140" s="0" t="n">
        <v>8</v>
      </c>
      <c r="E140" s="19" t="s">
        <v>268</v>
      </c>
      <c r="F140" s="19" t="s">
        <v>588</v>
      </c>
      <c r="G140" s="19" t="s">
        <v>1151</v>
      </c>
      <c r="H140" s="19" t="s">
        <v>333</v>
      </c>
      <c r="I140" s="19" t="s">
        <v>54</v>
      </c>
      <c r="J140" s="19" t="s">
        <v>716</v>
      </c>
      <c r="K140" s="0" t="n">
        <v>1</v>
      </c>
      <c r="L140" s="20" t="n">
        <v>843.16</v>
      </c>
      <c r="M140" s="20" t="n">
        <v>470.56</v>
      </c>
      <c r="N140" s="20" t="n">
        <v>843.16</v>
      </c>
      <c r="O140" s="20" t="n">
        <v>470.56</v>
      </c>
      <c r="P140" s="20" t="n">
        <v>372.6</v>
      </c>
      <c r="Q140" s="21" t="n">
        <v>0.4419</v>
      </c>
      <c r="R140" s="19" t="s">
        <v>1145</v>
      </c>
    </row>
    <row r="141" customFormat="false" ht="15" hidden="false" customHeight="false" outlineLevel="0" collapsed="false">
      <c r="A141" s="0" t="n">
        <v>140</v>
      </c>
      <c r="B141" s="18" t="n">
        <v>45169</v>
      </c>
      <c r="C141" s="0" t="n">
        <v>2023</v>
      </c>
      <c r="D141" s="0" t="n">
        <v>8</v>
      </c>
      <c r="E141" s="19" t="s">
        <v>782</v>
      </c>
      <c r="F141" s="19" t="s">
        <v>960</v>
      </c>
      <c r="G141" s="19" t="s">
        <v>1154</v>
      </c>
      <c r="H141" s="19" t="s">
        <v>362</v>
      </c>
      <c r="I141" s="19" t="s">
        <v>35</v>
      </c>
      <c r="J141" s="19" t="s">
        <v>586</v>
      </c>
      <c r="K141" s="0" t="n">
        <v>1</v>
      </c>
      <c r="L141" s="20" t="n">
        <v>3573.52</v>
      </c>
      <c r="M141" s="20" t="n">
        <v>2745.67</v>
      </c>
      <c r="N141" s="20" t="n">
        <v>3573.52</v>
      </c>
      <c r="O141" s="20" t="n">
        <v>2745.67</v>
      </c>
      <c r="P141" s="20" t="n">
        <v>827.85</v>
      </c>
      <c r="Q141" s="21" t="n">
        <v>0.2317</v>
      </c>
      <c r="R141" s="19" t="s">
        <v>1147</v>
      </c>
    </row>
    <row r="142" customFormat="false" ht="15" hidden="false" customHeight="false" outlineLevel="0" collapsed="false">
      <c r="A142" s="0" t="n">
        <v>141</v>
      </c>
      <c r="B142" s="18" t="n">
        <v>45170</v>
      </c>
      <c r="C142" s="0" t="n">
        <v>2023</v>
      </c>
      <c r="D142" s="0" t="n">
        <v>9</v>
      </c>
      <c r="E142" s="19" t="s">
        <v>782</v>
      </c>
      <c r="F142" s="19" t="s">
        <v>960</v>
      </c>
      <c r="G142" s="19" t="s">
        <v>1002</v>
      </c>
      <c r="H142" s="19" t="s">
        <v>362</v>
      </c>
      <c r="I142" s="19" t="s">
        <v>35</v>
      </c>
      <c r="J142" s="19" t="s">
        <v>1067</v>
      </c>
      <c r="K142" s="0" t="n">
        <v>1</v>
      </c>
      <c r="L142" s="20" t="n">
        <v>6317.25</v>
      </c>
      <c r="M142" s="20" t="n">
        <v>3670.71</v>
      </c>
      <c r="N142" s="20" t="n">
        <v>6317.25</v>
      </c>
      <c r="O142" s="20" t="n">
        <v>3670.71</v>
      </c>
      <c r="P142" s="20" t="n">
        <v>2646.54</v>
      </c>
      <c r="Q142" s="21" t="n">
        <v>0.4189</v>
      </c>
      <c r="R142" s="19" t="s">
        <v>1147</v>
      </c>
    </row>
    <row r="143" customFormat="false" ht="15" hidden="false" customHeight="false" outlineLevel="0" collapsed="false">
      <c r="A143" s="0" t="n">
        <v>142</v>
      </c>
      <c r="B143" s="18" t="n">
        <v>45180</v>
      </c>
      <c r="C143" s="0" t="n">
        <v>2023</v>
      </c>
      <c r="D143" s="0" t="n">
        <v>9</v>
      </c>
      <c r="E143" s="19" t="s">
        <v>782</v>
      </c>
      <c r="F143" s="19" t="s">
        <v>588</v>
      </c>
      <c r="G143" s="19" t="s">
        <v>1151</v>
      </c>
      <c r="H143" s="19" t="s">
        <v>333</v>
      </c>
      <c r="I143" s="19" t="s">
        <v>54</v>
      </c>
      <c r="J143" s="19" t="s">
        <v>831</v>
      </c>
      <c r="K143" s="0" t="n">
        <v>1</v>
      </c>
      <c r="L143" s="20" t="n">
        <v>884.74</v>
      </c>
      <c r="M143" s="20" t="n">
        <v>669.09</v>
      </c>
      <c r="N143" s="20" t="n">
        <v>884.74</v>
      </c>
      <c r="O143" s="20" t="n">
        <v>669.09</v>
      </c>
      <c r="P143" s="20" t="n">
        <v>215.65</v>
      </c>
      <c r="Q143" s="21" t="n">
        <v>0.2437</v>
      </c>
      <c r="R143" s="19" t="s">
        <v>1145</v>
      </c>
    </row>
    <row r="144" customFormat="false" ht="15" hidden="false" customHeight="false" outlineLevel="0" collapsed="false">
      <c r="A144" s="0" t="n">
        <v>143</v>
      </c>
      <c r="B144" s="18" t="n">
        <v>45185</v>
      </c>
      <c r="C144" s="0" t="n">
        <v>2023</v>
      </c>
      <c r="D144" s="0" t="n">
        <v>9</v>
      </c>
      <c r="E144" s="19" t="s">
        <v>782</v>
      </c>
      <c r="F144" s="19" t="s">
        <v>958</v>
      </c>
      <c r="G144" s="19" t="s">
        <v>1150</v>
      </c>
      <c r="H144" s="19" t="s">
        <v>333</v>
      </c>
      <c r="I144" s="19" t="s">
        <v>35</v>
      </c>
      <c r="J144" s="19" t="s">
        <v>180</v>
      </c>
      <c r="K144" s="0" t="n">
        <v>1</v>
      </c>
      <c r="L144" s="20" t="n">
        <v>4260.62</v>
      </c>
      <c r="M144" s="20" t="n">
        <v>2644.71</v>
      </c>
      <c r="N144" s="20" t="n">
        <v>4260.62</v>
      </c>
      <c r="O144" s="20" t="n">
        <v>2644.71</v>
      </c>
      <c r="P144" s="20" t="n">
        <v>1615.91</v>
      </c>
      <c r="Q144" s="21" t="n">
        <v>0.3793</v>
      </c>
      <c r="R144" s="19" t="s">
        <v>1147</v>
      </c>
    </row>
    <row r="145" customFormat="false" ht="15" hidden="false" customHeight="false" outlineLevel="0" collapsed="false">
      <c r="A145" s="0" t="n">
        <v>144</v>
      </c>
      <c r="B145" s="18" t="n">
        <v>45192</v>
      </c>
      <c r="C145" s="0" t="n">
        <v>2023</v>
      </c>
      <c r="D145" s="0" t="n">
        <v>9</v>
      </c>
      <c r="E145" s="19" t="s">
        <v>204</v>
      </c>
      <c r="F145" s="19" t="s">
        <v>958</v>
      </c>
      <c r="G145" s="19" t="s">
        <v>902</v>
      </c>
      <c r="H145" s="19" t="s">
        <v>362</v>
      </c>
      <c r="I145" s="19" t="s">
        <v>54</v>
      </c>
      <c r="J145" s="19" t="s">
        <v>1160</v>
      </c>
      <c r="K145" s="0" t="n">
        <v>1</v>
      </c>
      <c r="L145" s="20" t="n">
        <v>3483.46</v>
      </c>
      <c r="M145" s="20" t="n">
        <v>1971.05</v>
      </c>
      <c r="N145" s="20" t="n">
        <v>3483.46</v>
      </c>
      <c r="O145" s="20" t="n">
        <v>1971.05</v>
      </c>
      <c r="P145" s="20" t="n">
        <v>1512.41</v>
      </c>
      <c r="Q145" s="21" t="n">
        <v>0.4342</v>
      </c>
      <c r="R145" s="19" t="s">
        <v>1147</v>
      </c>
    </row>
    <row r="146" customFormat="false" ht="15" hidden="false" customHeight="false" outlineLevel="0" collapsed="false">
      <c r="A146" s="0" t="n">
        <v>145</v>
      </c>
      <c r="B146" s="18" t="n">
        <v>45194</v>
      </c>
      <c r="C146" s="0" t="n">
        <v>2023</v>
      </c>
      <c r="D146" s="0" t="n">
        <v>9</v>
      </c>
      <c r="E146" s="19" t="s">
        <v>937</v>
      </c>
      <c r="F146" s="19" t="s">
        <v>853</v>
      </c>
      <c r="G146" s="19" t="s">
        <v>365</v>
      </c>
      <c r="H146" s="19" t="s">
        <v>333</v>
      </c>
      <c r="I146" s="19" t="s">
        <v>35</v>
      </c>
      <c r="J146" s="19" t="s">
        <v>613</v>
      </c>
      <c r="K146" s="0" t="n">
        <v>1</v>
      </c>
      <c r="L146" s="20" t="n">
        <v>2433.72</v>
      </c>
      <c r="M146" s="20" t="n">
        <v>1518.55</v>
      </c>
      <c r="N146" s="20" t="n">
        <v>2433.72</v>
      </c>
      <c r="O146" s="20" t="n">
        <v>1518.55</v>
      </c>
      <c r="P146" s="20" t="n">
        <v>915.17</v>
      </c>
      <c r="Q146" s="21" t="n">
        <v>0.376</v>
      </c>
      <c r="R146" s="19" t="s">
        <v>1149</v>
      </c>
    </row>
    <row r="147" customFormat="false" ht="15" hidden="false" customHeight="false" outlineLevel="0" collapsed="false">
      <c r="A147" s="0" t="n">
        <v>146</v>
      </c>
      <c r="B147" s="18" t="n">
        <v>45197</v>
      </c>
      <c r="C147" s="0" t="n">
        <v>2023</v>
      </c>
      <c r="D147" s="0" t="n">
        <v>9</v>
      </c>
      <c r="E147" s="19" t="s">
        <v>782</v>
      </c>
      <c r="F147" s="19" t="s">
        <v>588</v>
      </c>
      <c r="G147" s="19" t="s">
        <v>1153</v>
      </c>
      <c r="H147" s="19" t="s">
        <v>333</v>
      </c>
      <c r="I147" s="19" t="s">
        <v>54</v>
      </c>
      <c r="J147" s="19" t="s">
        <v>1067</v>
      </c>
      <c r="K147" s="0" t="n">
        <v>2</v>
      </c>
      <c r="L147" s="20" t="n">
        <v>424.71</v>
      </c>
      <c r="M147" s="20" t="n">
        <v>307.04</v>
      </c>
      <c r="N147" s="20" t="n">
        <v>849.42</v>
      </c>
      <c r="O147" s="20" t="n">
        <v>614.08</v>
      </c>
      <c r="P147" s="20" t="n">
        <v>235.34</v>
      </c>
      <c r="Q147" s="21" t="n">
        <v>0.2771</v>
      </c>
      <c r="R147" s="19" t="s">
        <v>1145</v>
      </c>
    </row>
    <row r="148" customFormat="false" ht="15" hidden="false" customHeight="false" outlineLevel="0" collapsed="false">
      <c r="A148" s="0" t="n">
        <v>147</v>
      </c>
      <c r="B148" s="18" t="n">
        <v>45197</v>
      </c>
      <c r="C148" s="0" t="n">
        <v>2023</v>
      </c>
      <c r="D148" s="0" t="n">
        <v>9</v>
      </c>
      <c r="E148" s="19" t="s">
        <v>782</v>
      </c>
      <c r="F148" s="19" t="s">
        <v>958</v>
      </c>
      <c r="G148" s="19" t="s">
        <v>902</v>
      </c>
      <c r="H148" s="19" t="s">
        <v>362</v>
      </c>
      <c r="I148" s="19" t="s">
        <v>35</v>
      </c>
      <c r="J148" s="19" t="s">
        <v>758</v>
      </c>
      <c r="K148" s="0" t="n">
        <v>2</v>
      </c>
      <c r="L148" s="20" t="n">
        <v>1289.7</v>
      </c>
      <c r="M148" s="20" t="n">
        <v>919.95</v>
      </c>
      <c r="N148" s="20" t="n">
        <v>2579.4</v>
      </c>
      <c r="O148" s="20" t="n">
        <v>1839.9</v>
      </c>
      <c r="P148" s="20" t="n">
        <v>739.5</v>
      </c>
      <c r="Q148" s="21" t="n">
        <v>0.2867</v>
      </c>
      <c r="R148" s="19" t="s">
        <v>1149</v>
      </c>
    </row>
    <row r="149" customFormat="false" ht="15" hidden="false" customHeight="false" outlineLevel="0" collapsed="false">
      <c r="A149" s="0" t="n">
        <v>148</v>
      </c>
      <c r="B149" s="18" t="n">
        <v>45197</v>
      </c>
      <c r="C149" s="0" t="n">
        <v>2023</v>
      </c>
      <c r="D149" s="0" t="n">
        <v>9</v>
      </c>
      <c r="E149" s="19" t="s">
        <v>782</v>
      </c>
      <c r="F149" s="19" t="s">
        <v>588</v>
      </c>
      <c r="G149" s="19" t="s">
        <v>1151</v>
      </c>
      <c r="H149" s="19" t="s">
        <v>333</v>
      </c>
      <c r="I149" s="19" t="s">
        <v>54</v>
      </c>
      <c r="J149" s="19" t="s">
        <v>613</v>
      </c>
      <c r="K149" s="0" t="n">
        <v>1</v>
      </c>
      <c r="L149" s="20" t="n">
        <v>835.27</v>
      </c>
      <c r="M149" s="20" t="n">
        <v>559.35</v>
      </c>
      <c r="N149" s="20" t="n">
        <v>835.27</v>
      </c>
      <c r="O149" s="20" t="n">
        <v>559.35</v>
      </c>
      <c r="P149" s="20" t="n">
        <v>275.92</v>
      </c>
      <c r="Q149" s="21" t="n">
        <v>0.3303</v>
      </c>
      <c r="R149" s="19" t="s">
        <v>1145</v>
      </c>
    </row>
    <row r="150" customFormat="false" ht="15" hidden="false" customHeight="false" outlineLevel="0" collapsed="false">
      <c r="A150" s="0" t="n">
        <v>149</v>
      </c>
      <c r="B150" s="18" t="n">
        <v>45199</v>
      </c>
      <c r="C150" s="0" t="n">
        <v>2023</v>
      </c>
      <c r="D150" s="0" t="n">
        <v>9</v>
      </c>
      <c r="E150" s="19" t="s">
        <v>782</v>
      </c>
      <c r="F150" s="19" t="s">
        <v>698</v>
      </c>
      <c r="G150" s="19" t="s">
        <v>252</v>
      </c>
      <c r="H150" s="19" t="s">
        <v>333</v>
      </c>
      <c r="I150" s="19" t="s">
        <v>35</v>
      </c>
      <c r="J150" s="19" t="s">
        <v>613</v>
      </c>
      <c r="K150" s="0" t="n">
        <v>1</v>
      </c>
      <c r="L150" s="20" t="n">
        <v>33.53</v>
      </c>
      <c r="M150" s="20" t="n">
        <v>25.41</v>
      </c>
      <c r="N150" s="20" t="n">
        <v>33.53</v>
      </c>
      <c r="O150" s="20" t="n">
        <v>25.41</v>
      </c>
      <c r="P150" s="20" t="n">
        <v>8.12</v>
      </c>
      <c r="Q150" s="21" t="n">
        <v>0.2422</v>
      </c>
      <c r="R150" s="19" t="s">
        <v>1145</v>
      </c>
    </row>
    <row r="151" customFormat="false" ht="15" hidden="false" customHeight="false" outlineLevel="0" collapsed="false">
      <c r="A151" s="0" t="n">
        <v>150</v>
      </c>
      <c r="B151" s="18" t="n">
        <v>45199</v>
      </c>
      <c r="C151" s="0" t="n">
        <v>2023</v>
      </c>
      <c r="D151" s="0" t="n">
        <v>9</v>
      </c>
      <c r="E151" s="19" t="s">
        <v>204</v>
      </c>
      <c r="F151" s="19" t="s">
        <v>853</v>
      </c>
      <c r="G151" s="19" t="s">
        <v>298</v>
      </c>
      <c r="H151" s="19" t="s">
        <v>333</v>
      </c>
      <c r="I151" s="19" t="s">
        <v>35</v>
      </c>
      <c r="J151" s="19" t="s">
        <v>1054</v>
      </c>
      <c r="K151" s="0" t="n">
        <v>1</v>
      </c>
      <c r="L151" s="20" t="n">
        <v>927.92</v>
      </c>
      <c r="M151" s="20" t="n">
        <v>626.53</v>
      </c>
      <c r="N151" s="20" t="n">
        <v>927.92</v>
      </c>
      <c r="O151" s="20" t="n">
        <v>626.53</v>
      </c>
      <c r="P151" s="20" t="n">
        <v>301.39</v>
      </c>
      <c r="Q151" s="21" t="n">
        <v>0.3248</v>
      </c>
      <c r="R151" s="19" t="s">
        <v>1145</v>
      </c>
    </row>
    <row r="152" customFormat="false" ht="15" hidden="false" customHeight="false" outlineLevel="0" collapsed="false">
      <c r="A152" s="0" t="n">
        <v>151</v>
      </c>
      <c r="B152" s="18" t="n">
        <v>45200</v>
      </c>
      <c r="C152" s="0" t="n">
        <v>2023</v>
      </c>
      <c r="D152" s="0" t="n">
        <v>10</v>
      </c>
      <c r="E152" s="19" t="s">
        <v>204</v>
      </c>
      <c r="F152" s="19" t="s">
        <v>698</v>
      </c>
      <c r="G152" s="19" t="s">
        <v>774</v>
      </c>
      <c r="H152" s="19" t="s">
        <v>362</v>
      </c>
      <c r="I152" s="19" t="s">
        <v>54</v>
      </c>
      <c r="J152" s="19" t="s">
        <v>758</v>
      </c>
      <c r="K152" s="0" t="n">
        <v>1</v>
      </c>
      <c r="L152" s="20" t="n">
        <v>207.88</v>
      </c>
      <c r="M152" s="20" t="n">
        <v>130.1</v>
      </c>
      <c r="N152" s="20" t="n">
        <v>207.88</v>
      </c>
      <c r="O152" s="20" t="n">
        <v>130.1</v>
      </c>
      <c r="P152" s="20" t="n">
        <v>77.78</v>
      </c>
      <c r="Q152" s="21" t="n">
        <v>0.3742</v>
      </c>
      <c r="R152" s="19" t="s">
        <v>1145</v>
      </c>
    </row>
    <row r="153" customFormat="false" ht="15" hidden="false" customHeight="false" outlineLevel="0" collapsed="false">
      <c r="A153" s="0" t="n">
        <v>152</v>
      </c>
      <c r="B153" s="18" t="n">
        <v>45201</v>
      </c>
      <c r="C153" s="0" t="n">
        <v>2023</v>
      </c>
      <c r="D153" s="0" t="n">
        <v>10</v>
      </c>
      <c r="E153" s="19" t="s">
        <v>782</v>
      </c>
      <c r="F153" s="19" t="s">
        <v>698</v>
      </c>
      <c r="G153" s="19" t="s">
        <v>1163</v>
      </c>
      <c r="H153" s="19" t="s">
        <v>333</v>
      </c>
      <c r="I153" s="19" t="s">
        <v>54</v>
      </c>
      <c r="J153" s="19" t="s">
        <v>807</v>
      </c>
      <c r="K153" s="0" t="n">
        <v>2</v>
      </c>
      <c r="L153" s="20" t="n">
        <v>71.32</v>
      </c>
      <c r="M153" s="20" t="n">
        <v>50.99</v>
      </c>
      <c r="N153" s="20" t="n">
        <v>142.64</v>
      </c>
      <c r="O153" s="20" t="n">
        <v>101.98</v>
      </c>
      <c r="P153" s="20" t="n">
        <v>40.66</v>
      </c>
      <c r="Q153" s="21" t="n">
        <v>0.2851</v>
      </c>
      <c r="R153" s="19" t="s">
        <v>1145</v>
      </c>
    </row>
    <row r="154" customFormat="false" ht="15" hidden="false" customHeight="false" outlineLevel="0" collapsed="false">
      <c r="A154" s="0" t="n">
        <v>153</v>
      </c>
      <c r="B154" s="18" t="n">
        <v>45204</v>
      </c>
      <c r="C154" s="0" t="n">
        <v>2023</v>
      </c>
      <c r="D154" s="0" t="n">
        <v>10</v>
      </c>
      <c r="E154" s="19" t="s">
        <v>204</v>
      </c>
      <c r="F154" s="19" t="s">
        <v>698</v>
      </c>
      <c r="G154" s="19" t="s">
        <v>252</v>
      </c>
      <c r="H154" s="19" t="s">
        <v>362</v>
      </c>
      <c r="I154" s="19" t="s">
        <v>35</v>
      </c>
      <c r="J154" s="19" t="s">
        <v>613</v>
      </c>
      <c r="K154" s="0" t="n">
        <v>2</v>
      </c>
      <c r="L154" s="20" t="n">
        <v>79.14</v>
      </c>
      <c r="M154" s="20" t="n">
        <v>46.22</v>
      </c>
      <c r="N154" s="20" t="n">
        <v>158.28</v>
      </c>
      <c r="O154" s="20" t="n">
        <v>92.44</v>
      </c>
      <c r="P154" s="20" t="n">
        <v>65.84</v>
      </c>
      <c r="Q154" s="21" t="n">
        <v>0.416</v>
      </c>
      <c r="R154" s="19" t="s">
        <v>1145</v>
      </c>
    </row>
    <row r="155" customFormat="false" ht="15" hidden="false" customHeight="false" outlineLevel="0" collapsed="false">
      <c r="A155" s="0" t="n">
        <v>154</v>
      </c>
      <c r="B155" s="18" t="n">
        <v>45205</v>
      </c>
      <c r="C155" s="0" t="n">
        <v>2023</v>
      </c>
      <c r="D155" s="0" t="n">
        <v>10</v>
      </c>
      <c r="E155" s="19" t="s">
        <v>937</v>
      </c>
      <c r="F155" s="19" t="s">
        <v>958</v>
      </c>
      <c r="G155" s="19" t="s">
        <v>881</v>
      </c>
      <c r="H155" s="19" t="s">
        <v>333</v>
      </c>
      <c r="I155" s="19" t="s">
        <v>35</v>
      </c>
      <c r="J155" s="19" t="s">
        <v>613</v>
      </c>
      <c r="K155" s="0" t="n">
        <v>1</v>
      </c>
      <c r="L155" s="20" t="n">
        <v>3916.31</v>
      </c>
      <c r="M155" s="20" t="n">
        <v>2891.87</v>
      </c>
      <c r="N155" s="20" t="n">
        <v>3916.31</v>
      </c>
      <c r="O155" s="20" t="n">
        <v>2891.87</v>
      </c>
      <c r="P155" s="20" t="n">
        <v>1024.44</v>
      </c>
      <c r="Q155" s="21" t="n">
        <v>0.2616</v>
      </c>
      <c r="R155" s="19" t="s">
        <v>1147</v>
      </c>
    </row>
    <row r="156" customFormat="false" ht="15" hidden="false" customHeight="false" outlineLevel="0" collapsed="false">
      <c r="A156" s="0" t="n">
        <v>155</v>
      </c>
      <c r="B156" s="18" t="n">
        <v>45206</v>
      </c>
      <c r="C156" s="0" t="n">
        <v>2023</v>
      </c>
      <c r="D156" s="0" t="n">
        <v>10</v>
      </c>
      <c r="E156" s="19" t="s">
        <v>204</v>
      </c>
      <c r="F156" s="19" t="s">
        <v>698</v>
      </c>
      <c r="G156" s="19" t="s">
        <v>1157</v>
      </c>
      <c r="H156" s="19" t="s">
        <v>362</v>
      </c>
      <c r="I156" s="19" t="s">
        <v>35</v>
      </c>
      <c r="J156" s="19" t="s">
        <v>1067</v>
      </c>
      <c r="K156" s="0" t="n">
        <v>2</v>
      </c>
      <c r="L156" s="20" t="n">
        <v>247.3</v>
      </c>
      <c r="M156" s="20" t="n">
        <v>154.68</v>
      </c>
      <c r="N156" s="20" t="n">
        <v>494.6</v>
      </c>
      <c r="O156" s="20" t="n">
        <v>309.36</v>
      </c>
      <c r="P156" s="20" t="n">
        <v>185.24</v>
      </c>
      <c r="Q156" s="21" t="n">
        <v>0.3745</v>
      </c>
      <c r="R156" s="19" t="s">
        <v>1145</v>
      </c>
    </row>
    <row r="157" customFormat="false" ht="15" hidden="false" customHeight="false" outlineLevel="0" collapsed="false">
      <c r="A157" s="0" t="n">
        <v>156</v>
      </c>
      <c r="B157" s="18" t="n">
        <v>45208</v>
      </c>
      <c r="C157" s="0" t="n">
        <v>2023</v>
      </c>
      <c r="D157" s="0" t="n">
        <v>10</v>
      </c>
      <c r="E157" s="19" t="s">
        <v>268</v>
      </c>
      <c r="F157" s="19" t="s">
        <v>698</v>
      </c>
      <c r="G157" s="19" t="s">
        <v>774</v>
      </c>
      <c r="H157" s="19" t="s">
        <v>333</v>
      </c>
      <c r="I157" s="19" t="s">
        <v>35</v>
      </c>
      <c r="J157" s="19" t="s">
        <v>180</v>
      </c>
      <c r="K157" s="0" t="n">
        <v>1</v>
      </c>
      <c r="L157" s="20" t="n">
        <v>228.87</v>
      </c>
      <c r="M157" s="20" t="n">
        <v>126.95</v>
      </c>
      <c r="N157" s="20" t="n">
        <v>228.87</v>
      </c>
      <c r="O157" s="20" t="n">
        <v>126.95</v>
      </c>
      <c r="P157" s="20" t="n">
        <v>101.92</v>
      </c>
      <c r="Q157" s="21" t="n">
        <v>0.4453</v>
      </c>
      <c r="R157" s="19" t="s">
        <v>1145</v>
      </c>
    </row>
    <row r="158" customFormat="false" ht="15" hidden="false" customHeight="false" outlineLevel="0" collapsed="false">
      <c r="A158" s="0" t="n">
        <v>157</v>
      </c>
      <c r="B158" s="18" t="n">
        <v>45209</v>
      </c>
      <c r="C158" s="0" t="n">
        <v>2023</v>
      </c>
      <c r="D158" s="0" t="n">
        <v>10</v>
      </c>
      <c r="E158" s="19" t="s">
        <v>937</v>
      </c>
      <c r="F158" s="19" t="s">
        <v>588</v>
      </c>
      <c r="G158" s="19" t="s">
        <v>1159</v>
      </c>
      <c r="H158" s="19" t="s">
        <v>333</v>
      </c>
      <c r="I158" s="19" t="s">
        <v>35</v>
      </c>
      <c r="J158" s="19" t="s">
        <v>807</v>
      </c>
      <c r="K158" s="0" t="n">
        <v>1</v>
      </c>
      <c r="L158" s="20" t="n">
        <v>257.41</v>
      </c>
      <c r="M158" s="20" t="n">
        <v>160.38</v>
      </c>
      <c r="N158" s="20" t="n">
        <v>257.41</v>
      </c>
      <c r="O158" s="20" t="n">
        <v>160.38</v>
      </c>
      <c r="P158" s="20" t="n">
        <v>97.03</v>
      </c>
      <c r="Q158" s="21" t="n">
        <v>0.3769</v>
      </c>
      <c r="R158" s="19" t="s">
        <v>1145</v>
      </c>
    </row>
    <row r="159" customFormat="false" ht="15" hidden="false" customHeight="false" outlineLevel="0" collapsed="false">
      <c r="A159" s="0" t="n">
        <v>158</v>
      </c>
      <c r="B159" s="18" t="n">
        <v>45214</v>
      </c>
      <c r="C159" s="0" t="n">
        <v>2023</v>
      </c>
      <c r="D159" s="0" t="n">
        <v>10</v>
      </c>
      <c r="E159" s="19" t="s">
        <v>782</v>
      </c>
      <c r="F159" s="19" t="s">
        <v>698</v>
      </c>
      <c r="G159" s="19" t="s">
        <v>173</v>
      </c>
      <c r="H159" s="19" t="s">
        <v>362</v>
      </c>
      <c r="I159" s="19" t="s">
        <v>35</v>
      </c>
      <c r="J159" s="19" t="s">
        <v>1054</v>
      </c>
      <c r="K159" s="0" t="n">
        <v>2</v>
      </c>
      <c r="L159" s="20" t="n">
        <v>103.07</v>
      </c>
      <c r="M159" s="20" t="n">
        <v>70.23</v>
      </c>
      <c r="N159" s="20" t="n">
        <v>206.14</v>
      </c>
      <c r="O159" s="20" t="n">
        <v>140.46</v>
      </c>
      <c r="P159" s="20" t="n">
        <v>65.68</v>
      </c>
      <c r="Q159" s="21" t="n">
        <v>0.3186</v>
      </c>
      <c r="R159" s="19" t="s">
        <v>1145</v>
      </c>
    </row>
    <row r="160" customFormat="false" ht="15" hidden="false" customHeight="false" outlineLevel="0" collapsed="false">
      <c r="A160" s="0" t="n">
        <v>159</v>
      </c>
      <c r="B160" s="18" t="n">
        <v>45217</v>
      </c>
      <c r="C160" s="0" t="n">
        <v>2023</v>
      </c>
      <c r="D160" s="0" t="n">
        <v>10</v>
      </c>
      <c r="E160" s="19" t="s">
        <v>204</v>
      </c>
      <c r="F160" s="19" t="s">
        <v>853</v>
      </c>
      <c r="G160" s="19" t="s">
        <v>1148</v>
      </c>
      <c r="H160" s="19" t="s">
        <v>333</v>
      </c>
      <c r="I160" s="19" t="s">
        <v>54</v>
      </c>
      <c r="J160" s="19" t="s">
        <v>586</v>
      </c>
      <c r="K160" s="0" t="n">
        <v>1</v>
      </c>
      <c r="L160" s="20" t="n">
        <v>1709.44</v>
      </c>
      <c r="M160" s="20" t="n">
        <v>1102.73</v>
      </c>
      <c r="N160" s="20" t="n">
        <v>1709.44</v>
      </c>
      <c r="O160" s="20" t="n">
        <v>1102.73</v>
      </c>
      <c r="P160" s="20" t="n">
        <v>606.71</v>
      </c>
      <c r="Q160" s="21" t="n">
        <v>0.3549</v>
      </c>
      <c r="R160" s="19" t="s">
        <v>1149</v>
      </c>
    </row>
    <row r="161" customFormat="false" ht="15" hidden="false" customHeight="false" outlineLevel="0" collapsed="false">
      <c r="A161" s="0" t="n">
        <v>160</v>
      </c>
      <c r="B161" s="18" t="n">
        <v>45223</v>
      </c>
      <c r="C161" s="0" t="n">
        <v>2023</v>
      </c>
      <c r="D161" s="0" t="n">
        <v>10</v>
      </c>
      <c r="E161" s="19" t="s">
        <v>204</v>
      </c>
      <c r="F161" s="19" t="s">
        <v>958</v>
      </c>
      <c r="G161" s="19" t="s">
        <v>572</v>
      </c>
      <c r="H161" s="19" t="s">
        <v>362</v>
      </c>
      <c r="I161" s="19" t="s">
        <v>35</v>
      </c>
      <c r="J161" s="19" t="s">
        <v>716</v>
      </c>
      <c r="K161" s="0" t="n">
        <v>1</v>
      </c>
      <c r="L161" s="20" t="n">
        <v>4087.86</v>
      </c>
      <c r="M161" s="20" t="n">
        <v>2665.72</v>
      </c>
      <c r="N161" s="20" t="n">
        <v>4087.86</v>
      </c>
      <c r="O161" s="20" t="n">
        <v>2665.72</v>
      </c>
      <c r="P161" s="20" t="n">
        <v>1422.14</v>
      </c>
      <c r="Q161" s="21" t="n">
        <v>0.3479</v>
      </c>
      <c r="R161" s="19" t="s">
        <v>1147</v>
      </c>
    </row>
    <row r="162" customFormat="false" ht="15" hidden="false" customHeight="false" outlineLevel="0" collapsed="false">
      <c r="A162" s="0" t="n">
        <v>161</v>
      </c>
      <c r="B162" s="18" t="n">
        <v>45225</v>
      </c>
      <c r="C162" s="0" t="n">
        <v>2023</v>
      </c>
      <c r="D162" s="0" t="n">
        <v>10</v>
      </c>
      <c r="E162" s="19" t="s">
        <v>268</v>
      </c>
      <c r="F162" s="19" t="s">
        <v>960</v>
      </c>
      <c r="G162" s="19" t="s">
        <v>217</v>
      </c>
      <c r="H162" s="19" t="s">
        <v>362</v>
      </c>
      <c r="I162" s="19" t="s">
        <v>35</v>
      </c>
      <c r="J162" s="19" t="s">
        <v>1161</v>
      </c>
      <c r="K162" s="0" t="n">
        <v>2</v>
      </c>
      <c r="L162" s="20" t="n">
        <v>5924.9</v>
      </c>
      <c r="M162" s="20" t="n">
        <v>4340.2</v>
      </c>
      <c r="N162" s="20" t="n">
        <v>11849.8</v>
      </c>
      <c r="O162" s="20" t="n">
        <v>8680.4</v>
      </c>
      <c r="P162" s="20" t="n">
        <v>3169.4</v>
      </c>
      <c r="Q162" s="21" t="n">
        <v>0.2675</v>
      </c>
      <c r="R162" s="19" t="s">
        <v>1147</v>
      </c>
    </row>
    <row r="163" customFormat="false" ht="15" hidden="false" customHeight="false" outlineLevel="0" collapsed="false">
      <c r="A163" s="0" t="n">
        <v>162</v>
      </c>
      <c r="B163" s="18" t="n">
        <v>45228</v>
      </c>
      <c r="C163" s="0" t="n">
        <v>2023</v>
      </c>
      <c r="D163" s="0" t="n">
        <v>10</v>
      </c>
      <c r="E163" s="19" t="s">
        <v>782</v>
      </c>
      <c r="F163" s="19" t="s">
        <v>958</v>
      </c>
      <c r="G163" s="19" t="s">
        <v>1150</v>
      </c>
      <c r="H163" s="19" t="s">
        <v>362</v>
      </c>
      <c r="I163" s="19" t="s">
        <v>54</v>
      </c>
      <c r="J163" s="19" t="s">
        <v>586</v>
      </c>
      <c r="K163" s="0" t="n">
        <v>1</v>
      </c>
      <c r="L163" s="20" t="n">
        <v>1608.96</v>
      </c>
      <c r="M163" s="20" t="n">
        <v>1105.65</v>
      </c>
      <c r="N163" s="20" t="n">
        <v>1608.96</v>
      </c>
      <c r="O163" s="20" t="n">
        <v>1105.65</v>
      </c>
      <c r="P163" s="20" t="n">
        <v>503.31</v>
      </c>
      <c r="Q163" s="21" t="n">
        <v>0.3128</v>
      </c>
      <c r="R163" s="19" t="s">
        <v>1149</v>
      </c>
    </row>
    <row r="164" customFormat="false" ht="15" hidden="false" customHeight="false" outlineLevel="0" collapsed="false">
      <c r="A164" s="0" t="n">
        <v>163</v>
      </c>
      <c r="B164" s="18" t="n">
        <v>45230</v>
      </c>
      <c r="C164" s="0" t="n">
        <v>2023</v>
      </c>
      <c r="D164" s="0" t="n">
        <v>10</v>
      </c>
      <c r="E164" s="19" t="s">
        <v>782</v>
      </c>
      <c r="F164" s="19" t="s">
        <v>958</v>
      </c>
      <c r="G164" s="19" t="s">
        <v>572</v>
      </c>
      <c r="H164" s="19" t="s">
        <v>362</v>
      </c>
      <c r="I164" s="19" t="s">
        <v>54</v>
      </c>
      <c r="J164" s="19" t="s">
        <v>647</v>
      </c>
      <c r="K164" s="0" t="n">
        <v>1</v>
      </c>
      <c r="L164" s="20" t="n">
        <v>4382.43</v>
      </c>
      <c r="M164" s="20" t="n">
        <v>3284.54</v>
      </c>
      <c r="N164" s="20" t="n">
        <v>4382.43</v>
      </c>
      <c r="O164" s="20" t="n">
        <v>3284.54</v>
      </c>
      <c r="P164" s="20" t="n">
        <v>1097.89</v>
      </c>
      <c r="Q164" s="21" t="n">
        <v>0.2505</v>
      </c>
      <c r="R164" s="19" t="s">
        <v>1147</v>
      </c>
    </row>
    <row r="165" customFormat="false" ht="15" hidden="false" customHeight="false" outlineLevel="0" collapsed="false">
      <c r="A165" s="0" t="n">
        <v>164</v>
      </c>
      <c r="B165" s="18" t="n">
        <v>45230</v>
      </c>
      <c r="C165" s="0" t="n">
        <v>2023</v>
      </c>
      <c r="D165" s="0" t="n">
        <v>10</v>
      </c>
      <c r="E165" s="19" t="s">
        <v>782</v>
      </c>
      <c r="F165" s="19" t="s">
        <v>588</v>
      </c>
      <c r="G165" s="19" t="s">
        <v>1151</v>
      </c>
      <c r="H165" s="19" t="s">
        <v>362</v>
      </c>
      <c r="I165" s="19" t="s">
        <v>35</v>
      </c>
      <c r="J165" s="19" t="s">
        <v>1057</v>
      </c>
      <c r="K165" s="0" t="n">
        <v>2</v>
      </c>
      <c r="L165" s="20" t="n">
        <v>398.05</v>
      </c>
      <c r="M165" s="20" t="n">
        <v>283.89</v>
      </c>
      <c r="N165" s="20" t="n">
        <v>796.1</v>
      </c>
      <c r="O165" s="20" t="n">
        <v>567.78</v>
      </c>
      <c r="P165" s="20" t="n">
        <v>228.32</v>
      </c>
      <c r="Q165" s="21" t="n">
        <v>0.2868</v>
      </c>
      <c r="R165" s="19" t="s">
        <v>1145</v>
      </c>
    </row>
    <row r="166" customFormat="false" ht="15" hidden="false" customHeight="false" outlineLevel="0" collapsed="false">
      <c r="A166" s="0" t="n">
        <v>165</v>
      </c>
      <c r="B166" s="18" t="n">
        <v>45231</v>
      </c>
      <c r="C166" s="0" t="n">
        <v>2023</v>
      </c>
      <c r="D166" s="0" t="n">
        <v>11</v>
      </c>
      <c r="E166" s="19" t="s">
        <v>782</v>
      </c>
      <c r="F166" s="19" t="s">
        <v>698</v>
      </c>
      <c r="G166" s="19" t="s">
        <v>774</v>
      </c>
      <c r="H166" s="19" t="s">
        <v>362</v>
      </c>
      <c r="I166" s="19" t="s">
        <v>35</v>
      </c>
      <c r="J166" s="19" t="s">
        <v>1156</v>
      </c>
      <c r="K166" s="0" t="n">
        <v>1</v>
      </c>
      <c r="L166" s="20" t="n">
        <v>255.41</v>
      </c>
      <c r="M166" s="20" t="n">
        <v>171.81</v>
      </c>
      <c r="N166" s="20" t="n">
        <v>255.41</v>
      </c>
      <c r="O166" s="20" t="n">
        <v>171.81</v>
      </c>
      <c r="P166" s="20" t="n">
        <v>83.6</v>
      </c>
      <c r="Q166" s="21" t="n">
        <v>0.3273</v>
      </c>
      <c r="R166" s="19" t="s">
        <v>1145</v>
      </c>
    </row>
    <row r="167" customFormat="false" ht="15" hidden="false" customHeight="false" outlineLevel="0" collapsed="false">
      <c r="A167" s="0" t="n">
        <v>166</v>
      </c>
      <c r="B167" s="18" t="n">
        <v>45232</v>
      </c>
      <c r="C167" s="0" t="n">
        <v>2023</v>
      </c>
      <c r="D167" s="0" t="n">
        <v>11</v>
      </c>
      <c r="E167" s="19" t="s">
        <v>782</v>
      </c>
      <c r="F167" s="19" t="s">
        <v>960</v>
      </c>
      <c r="G167" s="19" t="s">
        <v>1002</v>
      </c>
      <c r="H167" s="19" t="s">
        <v>362</v>
      </c>
      <c r="I167" s="19" t="s">
        <v>35</v>
      </c>
      <c r="J167" s="19" t="s">
        <v>1048</v>
      </c>
      <c r="K167" s="0" t="n">
        <v>1</v>
      </c>
      <c r="L167" s="20" t="n">
        <v>3366.81</v>
      </c>
      <c r="M167" s="20" t="n">
        <v>2241.25</v>
      </c>
      <c r="N167" s="20" t="n">
        <v>3366.81</v>
      </c>
      <c r="O167" s="20" t="n">
        <v>2241.25</v>
      </c>
      <c r="P167" s="20" t="n">
        <v>1125.56</v>
      </c>
      <c r="Q167" s="21" t="n">
        <v>0.3343</v>
      </c>
      <c r="R167" s="19" t="s">
        <v>1147</v>
      </c>
    </row>
    <row r="168" customFormat="false" ht="15" hidden="false" customHeight="false" outlineLevel="0" collapsed="false">
      <c r="A168" s="0" t="n">
        <v>167</v>
      </c>
      <c r="B168" s="18" t="n">
        <v>45232</v>
      </c>
      <c r="C168" s="0" t="n">
        <v>2023</v>
      </c>
      <c r="D168" s="0" t="n">
        <v>11</v>
      </c>
      <c r="E168" s="19" t="s">
        <v>204</v>
      </c>
      <c r="F168" s="19" t="s">
        <v>588</v>
      </c>
      <c r="G168" s="19" t="s">
        <v>1153</v>
      </c>
      <c r="H168" s="19" t="s">
        <v>362</v>
      </c>
      <c r="I168" s="19" t="s">
        <v>35</v>
      </c>
      <c r="J168" s="19" t="s">
        <v>613</v>
      </c>
      <c r="K168" s="0" t="n">
        <v>1</v>
      </c>
      <c r="L168" s="20" t="n">
        <v>595.74</v>
      </c>
      <c r="M168" s="20" t="n">
        <v>431.05</v>
      </c>
      <c r="N168" s="20" t="n">
        <v>595.74</v>
      </c>
      <c r="O168" s="20" t="n">
        <v>431.05</v>
      </c>
      <c r="P168" s="20" t="n">
        <v>164.69</v>
      </c>
      <c r="Q168" s="21" t="n">
        <v>0.2764</v>
      </c>
      <c r="R168" s="19" t="s">
        <v>1145</v>
      </c>
    </row>
    <row r="169" customFormat="false" ht="15" hidden="false" customHeight="false" outlineLevel="0" collapsed="false">
      <c r="A169" s="0" t="n">
        <v>168</v>
      </c>
      <c r="B169" s="18" t="n">
        <v>45237</v>
      </c>
      <c r="C169" s="0" t="n">
        <v>2023</v>
      </c>
      <c r="D169" s="0" t="n">
        <v>11</v>
      </c>
      <c r="E169" s="19" t="s">
        <v>782</v>
      </c>
      <c r="F169" s="19" t="s">
        <v>960</v>
      </c>
      <c r="G169" s="19" t="s">
        <v>217</v>
      </c>
      <c r="H169" s="19" t="s">
        <v>333</v>
      </c>
      <c r="I169" s="19" t="s">
        <v>54</v>
      </c>
      <c r="J169" s="19" t="s">
        <v>1057</v>
      </c>
      <c r="K169" s="0" t="n">
        <v>1</v>
      </c>
      <c r="L169" s="20" t="n">
        <v>5179.13</v>
      </c>
      <c r="M169" s="20" t="n">
        <v>3130.48</v>
      </c>
      <c r="N169" s="20" t="n">
        <v>5179.13</v>
      </c>
      <c r="O169" s="20" t="n">
        <v>3130.48</v>
      </c>
      <c r="P169" s="20" t="n">
        <v>2048.65</v>
      </c>
      <c r="Q169" s="21" t="n">
        <v>0.3956</v>
      </c>
      <c r="R169" s="19" t="s">
        <v>1147</v>
      </c>
    </row>
    <row r="170" customFormat="false" ht="15" hidden="false" customHeight="false" outlineLevel="0" collapsed="false">
      <c r="A170" s="0" t="n">
        <v>169</v>
      </c>
      <c r="B170" s="18" t="n">
        <v>45242</v>
      </c>
      <c r="C170" s="0" t="n">
        <v>2023</v>
      </c>
      <c r="D170" s="0" t="n">
        <v>11</v>
      </c>
      <c r="E170" s="19" t="s">
        <v>685</v>
      </c>
      <c r="F170" s="19" t="s">
        <v>853</v>
      </c>
      <c r="G170" s="19" t="s">
        <v>365</v>
      </c>
      <c r="H170" s="19" t="s">
        <v>333</v>
      </c>
      <c r="I170" s="19" t="s">
        <v>54</v>
      </c>
      <c r="J170" s="19" t="s">
        <v>1057</v>
      </c>
      <c r="K170" s="0" t="n">
        <v>1</v>
      </c>
      <c r="L170" s="20" t="n">
        <v>1392.95</v>
      </c>
      <c r="M170" s="20" t="n">
        <v>826.51</v>
      </c>
      <c r="N170" s="20" t="n">
        <v>1392.95</v>
      </c>
      <c r="O170" s="20" t="n">
        <v>826.51</v>
      </c>
      <c r="P170" s="20" t="n">
        <v>566.44</v>
      </c>
      <c r="Q170" s="21" t="n">
        <v>0.4066</v>
      </c>
      <c r="R170" s="19" t="s">
        <v>1149</v>
      </c>
    </row>
    <row r="171" customFormat="false" ht="15" hidden="false" customHeight="false" outlineLevel="0" collapsed="false">
      <c r="A171" s="0" t="n">
        <v>170</v>
      </c>
      <c r="B171" s="18" t="n">
        <v>45244</v>
      </c>
      <c r="C171" s="0" t="n">
        <v>2023</v>
      </c>
      <c r="D171" s="0" t="n">
        <v>11</v>
      </c>
      <c r="E171" s="19" t="s">
        <v>268</v>
      </c>
      <c r="F171" s="19" t="s">
        <v>698</v>
      </c>
      <c r="G171" s="19" t="s">
        <v>774</v>
      </c>
      <c r="H171" s="19" t="s">
        <v>333</v>
      </c>
      <c r="I171" s="19" t="s">
        <v>35</v>
      </c>
      <c r="J171" s="19" t="s">
        <v>1158</v>
      </c>
      <c r="K171" s="0" t="n">
        <v>2</v>
      </c>
      <c r="L171" s="20" t="n">
        <v>179.86</v>
      </c>
      <c r="M171" s="20" t="n">
        <v>117.56</v>
      </c>
      <c r="N171" s="20" t="n">
        <v>359.72</v>
      </c>
      <c r="O171" s="20" t="n">
        <v>235.12</v>
      </c>
      <c r="P171" s="20" t="n">
        <v>124.6</v>
      </c>
      <c r="Q171" s="21" t="n">
        <v>0.3464</v>
      </c>
      <c r="R171" s="19" t="s">
        <v>1145</v>
      </c>
    </row>
    <row r="172" customFormat="false" ht="15" hidden="false" customHeight="false" outlineLevel="0" collapsed="false">
      <c r="A172" s="0" t="n">
        <v>171</v>
      </c>
      <c r="B172" s="18" t="n">
        <v>45245</v>
      </c>
      <c r="C172" s="0" t="n">
        <v>2023</v>
      </c>
      <c r="D172" s="0" t="n">
        <v>11</v>
      </c>
      <c r="E172" s="19" t="s">
        <v>782</v>
      </c>
      <c r="F172" s="19" t="s">
        <v>958</v>
      </c>
      <c r="G172" s="19" t="s">
        <v>881</v>
      </c>
      <c r="H172" s="19" t="s">
        <v>362</v>
      </c>
      <c r="I172" s="19" t="s">
        <v>35</v>
      </c>
      <c r="J172" s="19" t="s">
        <v>377</v>
      </c>
      <c r="K172" s="0" t="n">
        <v>1</v>
      </c>
      <c r="L172" s="20" t="n">
        <v>2261.06</v>
      </c>
      <c r="M172" s="20" t="n">
        <v>1485.41</v>
      </c>
      <c r="N172" s="20" t="n">
        <v>2261.06</v>
      </c>
      <c r="O172" s="20" t="n">
        <v>1485.41</v>
      </c>
      <c r="P172" s="20" t="n">
        <v>775.65</v>
      </c>
      <c r="Q172" s="21" t="n">
        <v>0.343</v>
      </c>
      <c r="R172" s="19" t="s">
        <v>1149</v>
      </c>
    </row>
    <row r="173" customFormat="false" ht="15" hidden="false" customHeight="false" outlineLevel="0" collapsed="false">
      <c r="A173" s="0" t="n">
        <v>172</v>
      </c>
      <c r="B173" s="18" t="n">
        <v>45246</v>
      </c>
      <c r="C173" s="0" t="n">
        <v>2023</v>
      </c>
      <c r="D173" s="0" t="n">
        <v>11</v>
      </c>
      <c r="E173" s="19" t="s">
        <v>268</v>
      </c>
      <c r="F173" s="19" t="s">
        <v>960</v>
      </c>
      <c r="G173" s="19" t="s">
        <v>1162</v>
      </c>
      <c r="H173" s="19" t="s">
        <v>333</v>
      </c>
      <c r="I173" s="19" t="s">
        <v>35</v>
      </c>
      <c r="J173" s="19" t="s">
        <v>1067</v>
      </c>
      <c r="K173" s="0" t="n">
        <v>1</v>
      </c>
      <c r="L173" s="20" t="n">
        <v>2538.97</v>
      </c>
      <c r="M173" s="20" t="n">
        <v>1550.62</v>
      </c>
      <c r="N173" s="20" t="n">
        <v>2538.97</v>
      </c>
      <c r="O173" s="20" t="n">
        <v>1550.62</v>
      </c>
      <c r="P173" s="20" t="n">
        <v>988.35</v>
      </c>
      <c r="Q173" s="21" t="n">
        <v>0.3893</v>
      </c>
      <c r="R173" s="19" t="s">
        <v>1149</v>
      </c>
    </row>
    <row r="174" customFormat="false" ht="15" hidden="false" customHeight="false" outlineLevel="0" collapsed="false">
      <c r="A174" s="0" t="n">
        <v>173</v>
      </c>
      <c r="B174" s="18" t="n">
        <v>45246</v>
      </c>
      <c r="C174" s="0" t="n">
        <v>2023</v>
      </c>
      <c r="D174" s="0" t="n">
        <v>11</v>
      </c>
      <c r="E174" s="19" t="s">
        <v>782</v>
      </c>
      <c r="F174" s="19" t="s">
        <v>958</v>
      </c>
      <c r="G174" s="19" t="s">
        <v>1150</v>
      </c>
      <c r="H174" s="19" t="s">
        <v>333</v>
      </c>
      <c r="I174" s="19" t="s">
        <v>35</v>
      </c>
      <c r="J174" s="19" t="s">
        <v>1160</v>
      </c>
      <c r="K174" s="0" t="n">
        <v>1</v>
      </c>
      <c r="L174" s="20" t="n">
        <v>4047.12</v>
      </c>
      <c r="M174" s="20" t="n">
        <v>2698.94</v>
      </c>
      <c r="N174" s="20" t="n">
        <v>4047.12</v>
      </c>
      <c r="O174" s="20" t="n">
        <v>2698.94</v>
      </c>
      <c r="P174" s="20" t="n">
        <v>1348.18</v>
      </c>
      <c r="Q174" s="21" t="n">
        <v>0.3331</v>
      </c>
      <c r="R174" s="19" t="s">
        <v>1147</v>
      </c>
    </row>
    <row r="175" customFormat="false" ht="15" hidden="false" customHeight="false" outlineLevel="0" collapsed="false">
      <c r="A175" s="0" t="n">
        <v>174</v>
      </c>
      <c r="B175" s="18" t="n">
        <v>45247</v>
      </c>
      <c r="C175" s="0" t="n">
        <v>2023</v>
      </c>
      <c r="D175" s="0" t="n">
        <v>11</v>
      </c>
      <c r="E175" s="19" t="s">
        <v>204</v>
      </c>
      <c r="F175" s="19" t="s">
        <v>958</v>
      </c>
      <c r="G175" s="19" t="s">
        <v>902</v>
      </c>
      <c r="H175" s="19" t="s">
        <v>333</v>
      </c>
      <c r="I175" s="19" t="s">
        <v>35</v>
      </c>
      <c r="J175" s="19" t="s">
        <v>1048</v>
      </c>
      <c r="K175" s="0" t="n">
        <v>2</v>
      </c>
      <c r="L175" s="20" t="n">
        <v>4261.72</v>
      </c>
      <c r="M175" s="20" t="n">
        <v>3028.24</v>
      </c>
      <c r="N175" s="20" t="n">
        <v>8523.44</v>
      </c>
      <c r="O175" s="20" t="n">
        <v>6056.48</v>
      </c>
      <c r="P175" s="20" t="n">
        <v>2466.96</v>
      </c>
      <c r="Q175" s="21" t="n">
        <v>0.2894</v>
      </c>
      <c r="R175" s="19" t="s">
        <v>1147</v>
      </c>
    </row>
    <row r="176" customFormat="false" ht="15" hidden="false" customHeight="false" outlineLevel="0" collapsed="false">
      <c r="A176" s="0" t="n">
        <v>175</v>
      </c>
      <c r="B176" s="18" t="n">
        <v>45247</v>
      </c>
      <c r="C176" s="0" t="n">
        <v>2023</v>
      </c>
      <c r="D176" s="0" t="n">
        <v>11</v>
      </c>
      <c r="E176" s="19" t="s">
        <v>782</v>
      </c>
      <c r="F176" s="19" t="s">
        <v>958</v>
      </c>
      <c r="G176" s="19" t="s">
        <v>862</v>
      </c>
      <c r="H176" s="19" t="s">
        <v>333</v>
      </c>
      <c r="I176" s="19" t="s">
        <v>35</v>
      </c>
      <c r="J176" s="19" t="s">
        <v>647</v>
      </c>
      <c r="K176" s="0" t="n">
        <v>1</v>
      </c>
      <c r="L176" s="20" t="n">
        <v>4382.91</v>
      </c>
      <c r="M176" s="20" t="n">
        <v>2844.03</v>
      </c>
      <c r="N176" s="20" t="n">
        <v>4382.91</v>
      </c>
      <c r="O176" s="20" t="n">
        <v>2844.03</v>
      </c>
      <c r="P176" s="20" t="n">
        <v>1538.88</v>
      </c>
      <c r="Q176" s="21" t="n">
        <v>0.3511</v>
      </c>
      <c r="R176" s="19" t="s">
        <v>1147</v>
      </c>
    </row>
    <row r="177" customFormat="false" ht="15" hidden="false" customHeight="false" outlineLevel="0" collapsed="false">
      <c r="A177" s="0" t="n">
        <v>176</v>
      </c>
      <c r="B177" s="18" t="n">
        <v>45249</v>
      </c>
      <c r="C177" s="0" t="n">
        <v>2023</v>
      </c>
      <c r="D177" s="0" t="n">
        <v>11</v>
      </c>
      <c r="E177" s="19" t="s">
        <v>268</v>
      </c>
      <c r="F177" s="19" t="s">
        <v>588</v>
      </c>
      <c r="G177" s="19" t="s">
        <v>1159</v>
      </c>
      <c r="H177" s="19" t="s">
        <v>333</v>
      </c>
      <c r="I177" s="19" t="s">
        <v>54</v>
      </c>
      <c r="J177" s="19" t="s">
        <v>613</v>
      </c>
      <c r="K177" s="0" t="n">
        <v>1</v>
      </c>
      <c r="L177" s="20" t="n">
        <v>574.1</v>
      </c>
      <c r="M177" s="20" t="n">
        <v>364.02</v>
      </c>
      <c r="N177" s="20" t="n">
        <v>574.1</v>
      </c>
      <c r="O177" s="20" t="n">
        <v>364.02</v>
      </c>
      <c r="P177" s="20" t="n">
        <v>210.08</v>
      </c>
      <c r="Q177" s="21" t="n">
        <v>0.3659</v>
      </c>
      <c r="R177" s="19" t="s">
        <v>1145</v>
      </c>
    </row>
    <row r="178" customFormat="false" ht="15" hidden="false" customHeight="false" outlineLevel="0" collapsed="false">
      <c r="A178" s="0" t="n">
        <v>177</v>
      </c>
      <c r="B178" s="18" t="n">
        <v>45250</v>
      </c>
      <c r="C178" s="0" t="n">
        <v>2023</v>
      </c>
      <c r="D178" s="0" t="n">
        <v>11</v>
      </c>
      <c r="E178" s="19" t="s">
        <v>268</v>
      </c>
      <c r="F178" s="19" t="s">
        <v>960</v>
      </c>
      <c r="G178" s="19" t="s">
        <v>1146</v>
      </c>
      <c r="H178" s="19" t="s">
        <v>333</v>
      </c>
      <c r="I178" s="19" t="s">
        <v>54</v>
      </c>
      <c r="J178" s="19" t="s">
        <v>807</v>
      </c>
      <c r="K178" s="0" t="n">
        <v>1</v>
      </c>
      <c r="L178" s="20" t="n">
        <v>2559</v>
      </c>
      <c r="M178" s="20" t="n">
        <v>1716.5</v>
      </c>
      <c r="N178" s="20" t="n">
        <v>2559</v>
      </c>
      <c r="O178" s="20" t="n">
        <v>1716.5</v>
      </c>
      <c r="P178" s="20" t="n">
        <v>842.5</v>
      </c>
      <c r="Q178" s="21" t="n">
        <v>0.3292</v>
      </c>
      <c r="R178" s="19" t="s">
        <v>1149</v>
      </c>
    </row>
    <row r="179" customFormat="false" ht="15" hidden="false" customHeight="false" outlineLevel="0" collapsed="false">
      <c r="A179" s="0" t="n">
        <v>178</v>
      </c>
      <c r="B179" s="18" t="n">
        <v>45252</v>
      </c>
      <c r="C179" s="0" t="n">
        <v>2023</v>
      </c>
      <c r="D179" s="0" t="n">
        <v>11</v>
      </c>
      <c r="E179" s="19" t="s">
        <v>782</v>
      </c>
      <c r="F179" s="19" t="s">
        <v>958</v>
      </c>
      <c r="G179" s="19" t="s">
        <v>1150</v>
      </c>
      <c r="H179" s="19" t="s">
        <v>362</v>
      </c>
      <c r="I179" s="19" t="s">
        <v>35</v>
      </c>
      <c r="J179" s="19" t="s">
        <v>180</v>
      </c>
      <c r="K179" s="0" t="n">
        <v>2</v>
      </c>
      <c r="L179" s="20" t="n">
        <v>2639.84</v>
      </c>
      <c r="M179" s="20" t="n">
        <v>1473.06</v>
      </c>
      <c r="N179" s="20" t="n">
        <v>5279.68</v>
      </c>
      <c r="O179" s="20" t="n">
        <v>2946.12</v>
      </c>
      <c r="P179" s="20" t="n">
        <v>2333.56</v>
      </c>
      <c r="Q179" s="21" t="n">
        <v>0.442</v>
      </c>
      <c r="R179" s="19" t="s">
        <v>1147</v>
      </c>
    </row>
    <row r="180" customFormat="false" ht="15" hidden="false" customHeight="false" outlineLevel="0" collapsed="false">
      <c r="A180" s="0" t="n">
        <v>179</v>
      </c>
      <c r="B180" s="18" t="n">
        <v>45255</v>
      </c>
      <c r="C180" s="0" t="n">
        <v>2023</v>
      </c>
      <c r="D180" s="0" t="n">
        <v>11</v>
      </c>
      <c r="E180" s="19" t="s">
        <v>782</v>
      </c>
      <c r="F180" s="19" t="s">
        <v>588</v>
      </c>
      <c r="G180" s="19" t="s">
        <v>1151</v>
      </c>
      <c r="H180" s="19" t="s">
        <v>333</v>
      </c>
      <c r="I180" s="19" t="s">
        <v>35</v>
      </c>
      <c r="J180" s="19" t="s">
        <v>1067</v>
      </c>
      <c r="K180" s="0" t="n">
        <v>1</v>
      </c>
      <c r="L180" s="20" t="n">
        <v>725.69</v>
      </c>
      <c r="M180" s="20" t="n">
        <v>471.14</v>
      </c>
      <c r="N180" s="20" t="n">
        <v>725.69</v>
      </c>
      <c r="O180" s="20" t="n">
        <v>471.14</v>
      </c>
      <c r="P180" s="20" t="n">
        <v>254.55</v>
      </c>
      <c r="Q180" s="21" t="n">
        <v>0.3508</v>
      </c>
      <c r="R180" s="19" t="s">
        <v>1145</v>
      </c>
    </row>
    <row r="181" customFormat="false" ht="15" hidden="false" customHeight="false" outlineLevel="0" collapsed="false">
      <c r="A181" s="0" t="n">
        <v>180</v>
      </c>
      <c r="B181" s="18" t="n">
        <v>45255</v>
      </c>
      <c r="C181" s="0" t="n">
        <v>2023</v>
      </c>
      <c r="D181" s="0" t="n">
        <v>11</v>
      </c>
      <c r="E181" s="19" t="s">
        <v>782</v>
      </c>
      <c r="F181" s="19" t="s">
        <v>853</v>
      </c>
      <c r="G181" s="19" t="s">
        <v>298</v>
      </c>
      <c r="H181" s="19" t="s">
        <v>333</v>
      </c>
      <c r="I181" s="19" t="s">
        <v>35</v>
      </c>
      <c r="J181" s="19" t="s">
        <v>1158</v>
      </c>
      <c r="K181" s="0" t="n">
        <v>1</v>
      </c>
      <c r="L181" s="20" t="n">
        <v>3133.03</v>
      </c>
      <c r="M181" s="20" t="n">
        <v>2009.62</v>
      </c>
      <c r="N181" s="20" t="n">
        <v>3133.03</v>
      </c>
      <c r="O181" s="20" t="n">
        <v>2009.62</v>
      </c>
      <c r="P181" s="20" t="n">
        <v>1123.41</v>
      </c>
      <c r="Q181" s="21" t="n">
        <v>0.3586</v>
      </c>
      <c r="R181" s="19" t="s">
        <v>1147</v>
      </c>
    </row>
    <row r="182" customFormat="false" ht="15" hidden="false" customHeight="false" outlineLevel="0" collapsed="false">
      <c r="A182" s="0" t="n">
        <v>181</v>
      </c>
      <c r="B182" s="18" t="n">
        <v>45258</v>
      </c>
      <c r="C182" s="0" t="n">
        <v>2023</v>
      </c>
      <c r="D182" s="0" t="n">
        <v>11</v>
      </c>
      <c r="E182" s="19" t="s">
        <v>268</v>
      </c>
      <c r="F182" s="19" t="s">
        <v>588</v>
      </c>
      <c r="G182" s="19" t="s">
        <v>1159</v>
      </c>
      <c r="H182" s="19" t="s">
        <v>333</v>
      </c>
      <c r="I182" s="19" t="s">
        <v>35</v>
      </c>
      <c r="J182" s="19" t="s">
        <v>1155</v>
      </c>
      <c r="K182" s="0" t="n">
        <v>2</v>
      </c>
      <c r="L182" s="20" t="n">
        <v>438.44</v>
      </c>
      <c r="M182" s="20" t="n">
        <v>341.75</v>
      </c>
      <c r="N182" s="20" t="n">
        <v>876.88</v>
      </c>
      <c r="O182" s="20" t="n">
        <v>683.5</v>
      </c>
      <c r="P182" s="20" t="n">
        <v>193.38</v>
      </c>
      <c r="Q182" s="21" t="n">
        <v>0.2205</v>
      </c>
      <c r="R182" s="19" t="s">
        <v>1145</v>
      </c>
    </row>
    <row r="183" customFormat="false" ht="15" hidden="false" customHeight="false" outlineLevel="0" collapsed="false">
      <c r="A183" s="0" t="n">
        <v>182</v>
      </c>
      <c r="B183" s="18" t="n">
        <v>45258</v>
      </c>
      <c r="C183" s="0" t="n">
        <v>2023</v>
      </c>
      <c r="D183" s="0" t="n">
        <v>11</v>
      </c>
      <c r="E183" s="19" t="s">
        <v>204</v>
      </c>
      <c r="F183" s="19" t="s">
        <v>588</v>
      </c>
      <c r="G183" s="19" t="s">
        <v>1151</v>
      </c>
      <c r="H183" s="19" t="s">
        <v>333</v>
      </c>
      <c r="I183" s="19" t="s">
        <v>35</v>
      </c>
      <c r="J183" s="19" t="s">
        <v>1161</v>
      </c>
      <c r="K183" s="0" t="n">
        <v>1</v>
      </c>
      <c r="L183" s="20" t="n">
        <v>409.39</v>
      </c>
      <c r="M183" s="20" t="n">
        <v>311.33</v>
      </c>
      <c r="N183" s="20" t="n">
        <v>409.39</v>
      </c>
      <c r="O183" s="20" t="n">
        <v>311.33</v>
      </c>
      <c r="P183" s="20" t="n">
        <v>98.06</v>
      </c>
      <c r="Q183" s="21" t="n">
        <v>0.2395</v>
      </c>
      <c r="R183" s="19" t="s">
        <v>1145</v>
      </c>
    </row>
    <row r="184" customFormat="false" ht="15" hidden="false" customHeight="false" outlineLevel="0" collapsed="false">
      <c r="A184" s="0" t="n">
        <v>183</v>
      </c>
      <c r="B184" s="18" t="n">
        <v>45259</v>
      </c>
      <c r="C184" s="0" t="n">
        <v>2023</v>
      </c>
      <c r="D184" s="0" t="n">
        <v>11</v>
      </c>
      <c r="E184" s="19" t="s">
        <v>204</v>
      </c>
      <c r="F184" s="19" t="s">
        <v>958</v>
      </c>
      <c r="G184" s="19" t="s">
        <v>902</v>
      </c>
      <c r="H184" s="19" t="s">
        <v>362</v>
      </c>
      <c r="I184" s="19" t="s">
        <v>35</v>
      </c>
      <c r="J184" s="19" t="s">
        <v>1156</v>
      </c>
      <c r="K184" s="0" t="n">
        <v>1</v>
      </c>
      <c r="L184" s="20" t="n">
        <v>3693.28</v>
      </c>
      <c r="M184" s="20" t="n">
        <v>2733.62</v>
      </c>
      <c r="N184" s="20" t="n">
        <v>3693.28</v>
      </c>
      <c r="O184" s="20" t="n">
        <v>2733.62</v>
      </c>
      <c r="P184" s="20" t="n">
        <v>959.66</v>
      </c>
      <c r="Q184" s="21" t="n">
        <v>0.2598</v>
      </c>
      <c r="R184" s="19" t="s">
        <v>1147</v>
      </c>
    </row>
    <row r="185" customFormat="false" ht="15" hidden="false" customHeight="false" outlineLevel="0" collapsed="false">
      <c r="A185" s="0" t="n">
        <v>184</v>
      </c>
      <c r="B185" s="18" t="n">
        <v>45261</v>
      </c>
      <c r="C185" s="0" t="n">
        <v>2023</v>
      </c>
      <c r="D185" s="0" t="n">
        <v>12</v>
      </c>
      <c r="E185" s="19" t="s">
        <v>268</v>
      </c>
      <c r="F185" s="19" t="s">
        <v>698</v>
      </c>
      <c r="G185" s="19" t="s">
        <v>252</v>
      </c>
      <c r="H185" s="19" t="s">
        <v>362</v>
      </c>
      <c r="I185" s="19" t="s">
        <v>35</v>
      </c>
      <c r="J185" s="19" t="s">
        <v>180</v>
      </c>
      <c r="K185" s="0" t="n">
        <v>1</v>
      </c>
      <c r="L185" s="20" t="n">
        <v>75.82</v>
      </c>
      <c r="M185" s="20" t="n">
        <v>45.17</v>
      </c>
      <c r="N185" s="20" t="n">
        <v>75.82</v>
      </c>
      <c r="O185" s="20" t="n">
        <v>45.17</v>
      </c>
      <c r="P185" s="20" t="n">
        <v>30.65</v>
      </c>
      <c r="Q185" s="21" t="n">
        <v>0.4042</v>
      </c>
      <c r="R185" s="19" t="s">
        <v>1145</v>
      </c>
    </row>
    <row r="186" customFormat="false" ht="15" hidden="false" customHeight="false" outlineLevel="0" collapsed="false">
      <c r="A186" s="0" t="n">
        <v>185</v>
      </c>
      <c r="B186" s="18" t="n">
        <v>45262</v>
      </c>
      <c r="C186" s="0" t="n">
        <v>2023</v>
      </c>
      <c r="D186" s="0" t="n">
        <v>12</v>
      </c>
      <c r="E186" s="19" t="s">
        <v>685</v>
      </c>
      <c r="F186" s="19" t="s">
        <v>958</v>
      </c>
      <c r="G186" s="19" t="s">
        <v>881</v>
      </c>
      <c r="H186" s="19" t="s">
        <v>362</v>
      </c>
      <c r="I186" s="19" t="s">
        <v>54</v>
      </c>
      <c r="J186" s="19" t="s">
        <v>758</v>
      </c>
      <c r="K186" s="0" t="n">
        <v>1</v>
      </c>
      <c r="L186" s="20" t="n">
        <v>3653.88</v>
      </c>
      <c r="M186" s="20" t="n">
        <v>2832.57</v>
      </c>
      <c r="N186" s="20" t="n">
        <v>3653.88</v>
      </c>
      <c r="O186" s="20" t="n">
        <v>2832.57</v>
      </c>
      <c r="P186" s="20" t="n">
        <v>821.31</v>
      </c>
      <c r="Q186" s="21" t="n">
        <v>0.2248</v>
      </c>
      <c r="R186" s="19" t="s">
        <v>1147</v>
      </c>
    </row>
    <row r="187" customFormat="false" ht="15" hidden="false" customHeight="false" outlineLevel="0" collapsed="false">
      <c r="A187" s="0" t="n">
        <v>186</v>
      </c>
      <c r="B187" s="18" t="n">
        <v>45264</v>
      </c>
      <c r="C187" s="0" t="n">
        <v>2023</v>
      </c>
      <c r="D187" s="0" t="n">
        <v>12</v>
      </c>
      <c r="E187" s="19" t="s">
        <v>268</v>
      </c>
      <c r="F187" s="19" t="s">
        <v>958</v>
      </c>
      <c r="G187" s="19" t="s">
        <v>572</v>
      </c>
      <c r="H187" s="19" t="s">
        <v>362</v>
      </c>
      <c r="I187" s="19" t="s">
        <v>35</v>
      </c>
      <c r="J187" s="19" t="s">
        <v>1161</v>
      </c>
      <c r="K187" s="0" t="n">
        <v>2</v>
      </c>
      <c r="L187" s="20" t="n">
        <v>2093.09</v>
      </c>
      <c r="M187" s="20" t="n">
        <v>1470.59</v>
      </c>
      <c r="N187" s="20" t="n">
        <v>4186.18</v>
      </c>
      <c r="O187" s="20" t="n">
        <v>2941.18</v>
      </c>
      <c r="P187" s="20" t="n">
        <v>1245</v>
      </c>
      <c r="Q187" s="21" t="n">
        <v>0.2974</v>
      </c>
      <c r="R187" s="19" t="s">
        <v>1147</v>
      </c>
    </row>
    <row r="188" customFormat="false" ht="15" hidden="false" customHeight="false" outlineLevel="0" collapsed="false">
      <c r="A188" s="0" t="n">
        <v>187</v>
      </c>
      <c r="B188" s="18" t="n">
        <v>45264</v>
      </c>
      <c r="C188" s="0" t="n">
        <v>2023</v>
      </c>
      <c r="D188" s="0" t="n">
        <v>12</v>
      </c>
      <c r="E188" s="19" t="s">
        <v>268</v>
      </c>
      <c r="F188" s="19" t="s">
        <v>960</v>
      </c>
      <c r="G188" s="19" t="s">
        <v>1002</v>
      </c>
      <c r="H188" s="19" t="s">
        <v>333</v>
      </c>
      <c r="I188" s="19" t="s">
        <v>35</v>
      </c>
      <c r="J188" s="19" t="s">
        <v>1057</v>
      </c>
      <c r="K188" s="0" t="n">
        <v>1</v>
      </c>
      <c r="L188" s="20" t="n">
        <v>4247.47</v>
      </c>
      <c r="M188" s="20" t="n">
        <v>2741.38</v>
      </c>
      <c r="N188" s="20" t="n">
        <v>4247.47</v>
      </c>
      <c r="O188" s="20" t="n">
        <v>2741.38</v>
      </c>
      <c r="P188" s="20" t="n">
        <v>1506.09</v>
      </c>
      <c r="Q188" s="21" t="n">
        <v>0.3546</v>
      </c>
      <c r="R188" s="19" t="s">
        <v>1147</v>
      </c>
    </row>
    <row r="189" customFormat="false" ht="15" hidden="false" customHeight="false" outlineLevel="0" collapsed="false">
      <c r="A189" s="0" t="n">
        <v>188</v>
      </c>
      <c r="B189" s="18" t="n">
        <v>45267</v>
      </c>
      <c r="C189" s="0" t="n">
        <v>2023</v>
      </c>
      <c r="D189" s="0" t="n">
        <v>12</v>
      </c>
      <c r="E189" s="19" t="s">
        <v>685</v>
      </c>
      <c r="F189" s="19" t="s">
        <v>853</v>
      </c>
      <c r="G189" s="19" t="s">
        <v>298</v>
      </c>
      <c r="H189" s="19" t="s">
        <v>333</v>
      </c>
      <c r="I189" s="19" t="s">
        <v>35</v>
      </c>
      <c r="J189" s="19" t="s">
        <v>1048</v>
      </c>
      <c r="K189" s="0" t="n">
        <v>2</v>
      </c>
      <c r="L189" s="20" t="n">
        <v>3026.81</v>
      </c>
      <c r="M189" s="20" t="n">
        <v>1690.48</v>
      </c>
      <c r="N189" s="20" t="n">
        <v>6053.62</v>
      </c>
      <c r="O189" s="20" t="n">
        <v>3380.96</v>
      </c>
      <c r="P189" s="20" t="n">
        <v>2672.66</v>
      </c>
      <c r="Q189" s="21" t="n">
        <v>0.4415</v>
      </c>
      <c r="R189" s="19" t="s">
        <v>1147</v>
      </c>
    </row>
    <row r="190" customFormat="false" ht="15" hidden="false" customHeight="false" outlineLevel="0" collapsed="false">
      <c r="A190" s="0" t="n">
        <v>189</v>
      </c>
      <c r="B190" s="18" t="n">
        <v>45267</v>
      </c>
      <c r="C190" s="0" t="n">
        <v>2023</v>
      </c>
      <c r="D190" s="0" t="n">
        <v>12</v>
      </c>
      <c r="E190" s="19" t="s">
        <v>685</v>
      </c>
      <c r="F190" s="19" t="s">
        <v>960</v>
      </c>
      <c r="G190" s="19" t="s">
        <v>1146</v>
      </c>
      <c r="H190" s="19" t="s">
        <v>362</v>
      </c>
      <c r="I190" s="19" t="s">
        <v>35</v>
      </c>
      <c r="J190" s="19" t="s">
        <v>1158</v>
      </c>
      <c r="K190" s="0" t="n">
        <v>2</v>
      </c>
      <c r="L190" s="20" t="n">
        <v>2705.21</v>
      </c>
      <c r="M190" s="20" t="n">
        <v>1550.98</v>
      </c>
      <c r="N190" s="20" t="n">
        <v>5410.42</v>
      </c>
      <c r="O190" s="20" t="n">
        <v>3101.96</v>
      </c>
      <c r="P190" s="20" t="n">
        <v>2308.46</v>
      </c>
      <c r="Q190" s="21" t="n">
        <v>0.4267</v>
      </c>
      <c r="R190" s="19" t="s">
        <v>1147</v>
      </c>
    </row>
    <row r="191" customFormat="false" ht="15" hidden="false" customHeight="false" outlineLevel="0" collapsed="false">
      <c r="A191" s="0" t="n">
        <v>190</v>
      </c>
      <c r="B191" s="18" t="n">
        <v>45268</v>
      </c>
      <c r="C191" s="0" t="n">
        <v>2023</v>
      </c>
      <c r="D191" s="0" t="n">
        <v>12</v>
      </c>
      <c r="E191" s="19" t="s">
        <v>268</v>
      </c>
      <c r="F191" s="19" t="s">
        <v>588</v>
      </c>
      <c r="G191" s="19" t="s">
        <v>1151</v>
      </c>
      <c r="H191" s="19" t="s">
        <v>333</v>
      </c>
      <c r="I191" s="19" t="s">
        <v>35</v>
      </c>
      <c r="J191" s="19" t="s">
        <v>613</v>
      </c>
      <c r="K191" s="0" t="n">
        <v>1</v>
      </c>
      <c r="L191" s="20" t="n">
        <v>895.91</v>
      </c>
      <c r="M191" s="20" t="n">
        <v>572.02</v>
      </c>
      <c r="N191" s="20" t="n">
        <v>895.91</v>
      </c>
      <c r="O191" s="20" t="n">
        <v>572.02</v>
      </c>
      <c r="P191" s="20" t="n">
        <v>323.89</v>
      </c>
      <c r="Q191" s="21" t="n">
        <v>0.3615</v>
      </c>
      <c r="R191" s="19" t="s">
        <v>1145</v>
      </c>
    </row>
    <row r="192" customFormat="false" ht="15" hidden="false" customHeight="false" outlineLevel="0" collapsed="false">
      <c r="A192" s="0" t="n">
        <v>191</v>
      </c>
      <c r="B192" s="18" t="n">
        <v>45269</v>
      </c>
      <c r="C192" s="0" t="n">
        <v>2023</v>
      </c>
      <c r="D192" s="0" t="n">
        <v>12</v>
      </c>
      <c r="E192" s="19" t="s">
        <v>782</v>
      </c>
      <c r="F192" s="19" t="s">
        <v>958</v>
      </c>
      <c r="G192" s="19" t="s">
        <v>572</v>
      </c>
      <c r="H192" s="19" t="s">
        <v>362</v>
      </c>
      <c r="I192" s="19" t="s">
        <v>35</v>
      </c>
      <c r="J192" s="19" t="s">
        <v>1067</v>
      </c>
      <c r="K192" s="0" t="n">
        <v>1</v>
      </c>
      <c r="L192" s="20" t="n">
        <v>4199.91</v>
      </c>
      <c r="M192" s="20" t="n">
        <v>3027.01</v>
      </c>
      <c r="N192" s="20" t="n">
        <v>4199.91</v>
      </c>
      <c r="O192" s="20" t="n">
        <v>3027.01</v>
      </c>
      <c r="P192" s="20" t="n">
        <v>1172.9</v>
      </c>
      <c r="Q192" s="21" t="n">
        <v>0.2793</v>
      </c>
      <c r="R192" s="19" t="s">
        <v>1147</v>
      </c>
    </row>
    <row r="193" customFormat="false" ht="15" hidden="false" customHeight="false" outlineLevel="0" collapsed="false">
      <c r="A193" s="0" t="n">
        <v>192</v>
      </c>
      <c r="B193" s="18" t="n">
        <v>45270</v>
      </c>
      <c r="C193" s="0" t="n">
        <v>2023</v>
      </c>
      <c r="D193" s="0" t="n">
        <v>12</v>
      </c>
      <c r="E193" s="19" t="s">
        <v>204</v>
      </c>
      <c r="F193" s="19" t="s">
        <v>958</v>
      </c>
      <c r="G193" s="19" t="s">
        <v>881</v>
      </c>
      <c r="H193" s="19" t="s">
        <v>362</v>
      </c>
      <c r="I193" s="19" t="s">
        <v>54</v>
      </c>
      <c r="J193" s="19" t="s">
        <v>647</v>
      </c>
      <c r="K193" s="0" t="n">
        <v>2</v>
      </c>
      <c r="L193" s="20" t="n">
        <v>3723.85</v>
      </c>
      <c r="M193" s="20" t="n">
        <v>2820.36</v>
      </c>
      <c r="N193" s="20" t="n">
        <v>7447.7</v>
      </c>
      <c r="O193" s="20" t="n">
        <v>5640.72</v>
      </c>
      <c r="P193" s="20" t="n">
        <v>1806.98</v>
      </c>
      <c r="Q193" s="21" t="n">
        <v>0.2426</v>
      </c>
      <c r="R193" s="19" t="s">
        <v>1147</v>
      </c>
    </row>
    <row r="194" customFormat="false" ht="15" hidden="false" customHeight="false" outlineLevel="0" collapsed="false">
      <c r="A194" s="0" t="n">
        <v>193</v>
      </c>
      <c r="B194" s="18" t="n">
        <v>45272</v>
      </c>
      <c r="C194" s="0" t="n">
        <v>2023</v>
      </c>
      <c r="D194" s="0" t="n">
        <v>12</v>
      </c>
      <c r="E194" s="19" t="s">
        <v>204</v>
      </c>
      <c r="F194" s="19" t="s">
        <v>853</v>
      </c>
      <c r="G194" s="19" t="s">
        <v>298</v>
      </c>
      <c r="H194" s="19" t="s">
        <v>362</v>
      </c>
      <c r="I194" s="19" t="s">
        <v>54</v>
      </c>
      <c r="J194" s="19" t="s">
        <v>1048</v>
      </c>
      <c r="K194" s="0" t="n">
        <v>1</v>
      </c>
      <c r="L194" s="20" t="n">
        <v>1149.91</v>
      </c>
      <c r="M194" s="20" t="n">
        <v>842.18</v>
      </c>
      <c r="N194" s="20" t="n">
        <v>1149.91</v>
      </c>
      <c r="O194" s="20" t="n">
        <v>842.18</v>
      </c>
      <c r="P194" s="20" t="n">
        <v>307.73</v>
      </c>
      <c r="Q194" s="21" t="n">
        <v>0.2676</v>
      </c>
      <c r="R194" s="19" t="s">
        <v>1149</v>
      </c>
    </row>
    <row r="195" customFormat="false" ht="15" hidden="false" customHeight="false" outlineLevel="0" collapsed="false">
      <c r="A195" s="0" t="n">
        <v>194</v>
      </c>
      <c r="B195" s="18" t="n">
        <v>45274</v>
      </c>
      <c r="C195" s="0" t="n">
        <v>2023</v>
      </c>
      <c r="D195" s="0" t="n">
        <v>12</v>
      </c>
      <c r="E195" s="19" t="s">
        <v>782</v>
      </c>
      <c r="F195" s="19" t="s">
        <v>853</v>
      </c>
      <c r="G195" s="19" t="s">
        <v>1148</v>
      </c>
      <c r="H195" s="19" t="s">
        <v>333</v>
      </c>
      <c r="I195" s="19" t="s">
        <v>54</v>
      </c>
      <c r="J195" s="19" t="s">
        <v>1160</v>
      </c>
      <c r="K195" s="0" t="n">
        <v>2</v>
      </c>
      <c r="L195" s="20" t="n">
        <v>2401.72</v>
      </c>
      <c r="M195" s="20" t="n">
        <v>1621.63</v>
      </c>
      <c r="N195" s="20" t="n">
        <v>4803.44</v>
      </c>
      <c r="O195" s="20" t="n">
        <v>3243.26</v>
      </c>
      <c r="P195" s="20" t="n">
        <v>1560.18</v>
      </c>
      <c r="Q195" s="21" t="n">
        <v>0.3248</v>
      </c>
      <c r="R195" s="19" t="s">
        <v>1147</v>
      </c>
    </row>
    <row r="196" customFormat="false" ht="15" hidden="false" customHeight="false" outlineLevel="0" collapsed="false">
      <c r="A196" s="0" t="n">
        <v>195</v>
      </c>
      <c r="B196" s="18" t="n">
        <v>45275</v>
      </c>
      <c r="C196" s="0" t="n">
        <v>2023</v>
      </c>
      <c r="D196" s="0" t="n">
        <v>12</v>
      </c>
      <c r="E196" s="19" t="s">
        <v>782</v>
      </c>
      <c r="F196" s="19" t="s">
        <v>960</v>
      </c>
      <c r="G196" s="19" t="s">
        <v>1162</v>
      </c>
      <c r="H196" s="19" t="s">
        <v>362</v>
      </c>
      <c r="I196" s="19" t="s">
        <v>35</v>
      </c>
      <c r="J196" s="19" t="s">
        <v>377</v>
      </c>
      <c r="K196" s="0" t="n">
        <v>3</v>
      </c>
      <c r="L196" s="20" t="n">
        <v>3320.75</v>
      </c>
      <c r="M196" s="20" t="n">
        <v>2115.98</v>
      </c>
      <c r="N196" s="20" t="n">
        <v>9962.25</v>
      </c>
      <c r="O196" s="20" t="n">
        <v>6347.94</v>
      </c>
      <c r="P196" s="20" t="n">
        <v>3614.31</v>
      </c>
      <c r="Q196" s="21" t="n">
        <v>0.3628</v>
      </c>
      <c r="R196" s="19" t="s">
        <v>1147</v>
      </c>
    </row>
    <row r="197" customFormat="false" ht="15" hidden="false" customHeight="false" outlineLevel="0" collapsed="false">
      <c r="A197" s="0" t="n">
        <v>196</v>
      </c>
      <c r="B197" s="18" t="n">
        <v>45276</v>
      </c>
      <c r="C197" s="0" t="n">
        <v>2023</v>
      </c>
      <c r="D197" s="0" t="n">
        <v>12</v>
      </c>
      <c r="E197" s="19" t="s">
        <v>782</v>
      </c>
      <c r="F197" s="19" t="s">
        <v>588</v>
      </c>
      <c r="G197" s="19" t="s">
        <v>1159</v>
      </c>
      <c r="H197" s="19" t="s">
        <v>362</v>
      </c>
      <c r="I197" s="19" t="s">
        <v>35</v>
      </c>
      <c r="J197" s="19" t="s">
        <v>741</v>
      </c>
      <c r="K197" s="0" t="n">
        <v>1</v>
      </c>
      <c r="L197" s="20" t="n">
        <v>634.64</v>
      </c>
      <c r="M197" s="20" t="n">
        <v>379.51</v>
      </c>
      <c r="N197" s="20" t="n">
        <v>634.64</v>
      </c>
      <c r="O197" s="20" t="n">
        <v>379.51</v>
      </c>
      <c r="P197" s="20" t="n">
        <v>255.13</v>
      </c>
      <c r="Q197" s="21" t="n">
        <v>0.402</v>
      </c>
      <c r="R197" s="19" t="s">
        <v>1145</v>
      </c>
    </row>
    <row r="198" customFormat="false" ht="15" hidden="false" customHeight="false" outlineLevel="0" collapsed="false">
      <c r="A198" s="0" t="n">
        <v>197</v>
      </c>
      <c r="B198" s="18" t="n">
        <v>45278</v>
      </c>
      <c r="C198" s="0" t="n">
        <v>2023</v>
      </c>
      <c r="D198" s="0" t="n">
        <v>12</v>
      </c>
      <c r="E198" s="19" t="s">
        <v>782</v>
      </c>
      <c r="F198" s="19" t="s">
        <v>958</v>
      </c>
      <c r="G198" s="19" t="s">
        <v>1150</v>
      </c>
      <c r="H198" s="19" t="s">
        <v>362</v>
      </c>
      <c r="I198" s="19" t="s">
        <v>35</v>
      </c>
      <c r="J198" s="19" t="s">
        <v>807</v>
      </c>
      <c r="K198" s="0" t="n">
        <v>2</v>
      </c>
      <c r="L198" s="20" t="n">
        <v>3809.85</v>
      </c>
      <c r="M198" s="20" t="n">
        <v>2366.66</v>
      </c>
      <c r="N198" s="20" t="n">
        <v>7619.7</v>
      </c>
      <c r="O198" s="20" t="n">
        <v>4733.32</v>
      </c>
      <c r="P198" s="20" t="n">
        <v>2886.38</v>
      </c>
      <c r="Q198" s="21" t="n">
        <v>0.3788</v>
      </c>
      <c r="R198" s="19" t="s">
        <v>1147</v>
      </c>
    </row>
    <row r="199" customFormat="false" ht="15" hidden="false" customHeight="false" outlineLevel="0" collapsed="false">
      <c r="A199" s="0" t="n">
        <v>198</v>
      </c>
      <c r="B199" s="18" t="n">
        <v>45279</v>
      </c>
      <c r="C199" s="0" t="n">
        <v>2023</v>
      </c>
      <c r="D199" s="0" t="n">
        <v>12</v>
      </c>
      <c r="E199" s="19" t="s">
        <v>782</v>
      </c>
      <c r="F199" s="19" t="s">
        <v>958</v>
      </c>
      <c r="G199" s="19" t="s">
        <v>881</v>
      </c>
      <c r="H199" s="19" t="s">
        <v>362</v>
      </c>
      <c r="I199" s="19" t="s">
        <v>35</v>
      </c>
      <c r="J199" s="19" t="s">
        <v>1054</v>
      </c>
      <c r="K199" s="0" t="n">
        <v>1</v>
      </c>
      <c r="L199" s="20" t="n">
        <v>1709.6</v>
      </c>
      <c r="M199" s="20" t="n">
        <v>1054.83</v>
      </c>
      <c r="N199" s="20" t="n">
        <v>1709.6</v>
      </c>
      <c r="O199" s="20" t="n">
        <v>1054.83</v>
      </c>
      <c r="P199" s="20" t="n">
        <v>654.77</v>
      </c>
      <c r="Q199" s="21" t="n">
        <v>0.383</v>
      </c>
      <c r="R199" s="19" t="s">
        <v>1149</v>
      </c>
    </row>
    <row r="200" customFormat="false" ht="15" hidden="false" customHeight="false" outlineLevel="0" collapsed="false">
      <c r="A200" s="0" t="n">
        <v>199</v>
      </c>
      <c r="B200" s="18" t="n">
        <v>45282</v>
      </c>
      <c r="C200" s="0" t="n">
        <v>2023</v>
      </c>
      <c r="D200" s="0" t="n">
        <v>12</v>
      </c>
      <c r="E200" s="19" t="s">
        <v>685</v>
      </c>
      <c r="F200" s="19" t="s">
        <v>698</v>
      </c>
      <c r="G200" s="19" t="s">
        <v>774</v>
      </c>
      <c r="H200" s="19" t="s">
        <v>333</v>
      </c>
      <c r="I200" s="19" t="s">
        <v>35</v>
      </c>
      <c r="J200" s="19" t="s">
        <v>758</v>
      </c>
      <c r="K200" s="0" t="n">
        <v>1</v>
      </c>
      <c r="L200" s="20" t="n">
        <v>145.46</v>
      </c>
      <c r="M200" s="20" t="n">
        <v>95.64</v>
      </c>
      <c r="N200" s="20" t="n">
        <v>145.46</v>
      </c>
      <c r="O200" s="20" t="n">
        <v>95.64</v>
      </c>
      <c r="P200" s="20" t="n">
        <v>49.82</v>
      </c>
      <c r="Q200" s="21" t="n">
        <v>0.3425</v>
      </c>
      <c r="R200" s="19" t="s">
        <v>1145</v>
      </c>
    </row>
    <row r="201" customFormat="false" ht="15" hidden="false" customHeight="false" outlineLevel="0" collapsed="false">
      <c r="A201" s="0" t="n">
        <v>200</v>
      </c>
      <c r="B201" s="18" t="n">
        <v>45283</v>
      </c>
      <c r="C201" s="0" t="n">
        <v>2023</v>
      </c>
      <c r="D201" s="0" t="n">
        <v>12</v>
      </c>
      <c r="E201" s="19" t="s">
        <v>937</v>
      </c>
      <c r="F201" s="19" t="s">
        <v>958</v>
      </c>
      <c r="G201" s="19" t="s">
        <v>881</v>
      </c>
      <c r="H201" s="19" t="s">
        <v>362</v>
      </c>
      <c r="I201" s="19" t="s">
        <v>54</v>
      </c>
      <c r="J201" s="19" t="s">
        <v>377</v>
      </c>
      <c r="K201" s="0" t="n">
        <v>1</v>
      </c>
      <c r="L201" s="20" t="n">
        <v>1580.11</v>
      </c>
      <c r="M201" s="20" t="n">
        <v>1131.1</v>
      </c>
      <c r="N201" s="20" t="n">
        <v>1580.11</v>
      </c>
      <c r="O201" s="20" t="n">
        <v>1131.1</v>
      </c>
      <c r="P201" s="20" t="n">
        <v>449.01</v>
      </c>
      <c r="Q201" s="21" t="n">
        <v>0.2842</v>
      </c>
      <c r="R201" s="19" t="s">
        <v>1149</v>
      </c>
    </row>
    <row r="202" customFormat="false" ht="15" hidden="false" customHeight="false" outlineLevel="0" collapsed="false">
      <c r="A202" s="0" t="n">
        <v>201</v>
      </c>
      <c r="B202" s="18" t="n">
        <v>45285</v>
      </c>
      <c r="C202" s="0" t="n">
        <v>2023</v>
      </c>
      <c r="D202" s="0" t="n">
        <v>12</v>
      </c>
      <c r="E202" s="19" t="s">
        <v>685</v>
      </c>
      <c r="F202" s="19" t="s">
        <v>960</v>
      </c>
      <c r="G202" s="19" t="s">
        <v>217</v>
      </c>
      <c r="H202" s="19" t="s">
        <v>333</v>
      </c>
      <c r="I202" s="19" t="s">
        <v>35</v>
      </c>
      <c r="J202" s="19" t="s">
        <v>647</v>
      </c>
      <c r="K202" s="0" t="n">
        <v>1</v>
      </c>
      <c r="L202" s="20" t="n">
        <v>3219.9</v>
      </c>
      <c r="M202" s="20" t="n">
        <v>1995.31</v>
      </c>
      <c r="N202" s="20" t="n">
        <v>3219.9</v>
      </c>
      <c r="O202" s="20" t="n">
        <v>1995.31</v>
      </c>
      <c r="P202" s="20" t="n">
        <v>1224.59</v>
      </c>
      <c r="Q202" s="21" t="n">
        <v>0.3803</v>
      </c>
      <c r="R202" s="19" t="s">
        <v>1147</v>
      </c>
    </row>
    <row r="203" customFormat="false" ht="15" hidden="false" customHeight="false" outlineLevel="0" collapsed="false">
      <c r="A203" s="0" t="n">
        <v>202</v>
      </c>
      <c r="B203" s="18" t="n">
        <v>45286</v>
      </c>
      <c r="C203" s="0" t="n">
        <v>2023</v>
      </c>
      <c r="D203" s="0" t="n">
        <v>12</v>
      </c>
      <c r="E203" s="19" t="s">
        <v>782</v>
      </c>
      <c r="F203" s="19" t="s">
        <v>958</v>
      </c>
      <c r="G203" s="19" t="s">
        <v>862</v>
      </c>
      <c r="H203" s="19" t="s">
        <v>333</v>
      </c>
      <c r="I203" s="19" t="s">
        <v>35</v>
      </c>
      <c r="J203" s="19" t="s">
        <v>807</v>
      </c>
      <c r="K203" s="0" t="n">
        <v>1</v>
      </c>
      <c r="L203" s="20" t="n">
        <v>3273.97</v>
      </c>
      <c r="M203" s="20" t="n">
        <v>1868.58</v>
      </c>
      <c r="N203" s="20" t="n">
        <v>3273.97</v>
      </c>
      <c r="O203" s="20" t="n">
        <v>1868.58</v>
      </c>
      <c r="P203" s="20" t="n">
        <v>1405.39</v>
      </c>
      <c r="Q203" s="21" t="n">
        <v>0.4293</v>
      </c>
      <c r="R203" s="19" t="s">
        <v>1147</v>
      </c>
    </row>
    <row r="204" customFormat="false" ht="15" hidden="false" customHeight="false" outlineLevel="0" collapsed="false">
      <c r="A204" s="0" t="n">
        <v>203</v>
      </c>
      <c r="B204" s="18" t="n">
        <v>45287</v>
      </c>
      <c r="C204" s="0" t="n">
        <v>2023</v>
      </c>
      <c r="D204" s="0" t="n">
        <v>12</v>
      </c>
      <c r="E204" s="19" t="s">
        <v>685</v>
      </c>
      <c r="F204" s="19" t="s">
        <v>588</v>
      </c>
      <c r="G204" s="19" t="s">
        <v>1153</v>
      </c>
      <c r="H204" s="19" t="s">
        <v>333</v>
      </c>
      <c r="I204" s="19" t="s">
        <v>35</v>
      </c>
      <c r="J204" s="19" t="s">
        <v>1158</v>
      </c>
      <c r="K204" s="0" t="n">
        <v>1</v>
      </c>
      <c r="L204" s="20" t="n">
        <v>454.25</v>
      </c>
      <c r="M204" s="20" t="n">
        <v>287.62</v>
      </c>
      <c r="N204" s="20" t="n">
        <v>454.25</v>
      </c>
      <c r="O204" s="20" t="n">
        <v>287.62</v>
      </c>
      <c r="P204" s="20" t="n">
        <v>166.63</v>
      </c>
      <c r="Q204" s="21" t="n">
        <v>0.3668</v>
      </c>
      <c r="R204" s="19" t="s">
        <v>1145</v>
      </c>
    </row>
    <row r="205" customFormat="false" ht="15" hidden="false" customHeight="false" outlineLevel="0" collapsed="false">
      <c r="A205" s="0" t="n">
        <v>204</v>
      </c>
      <c r="B205" s="18" t="n">
        <v>45292</v>
      </c>
      <c r="C205" s="0" t="n">
        <v>2024</v>
      </c>
      <c r="D205" s="0" t="n">
        <v>1</v>
      </c>
      <c r="E205" s="19" t="s">
        <v>782</v>
      </c>
      <c r="F205" s="19" t="s">
        <v>958</v>
      </c>
      <c r="G205" s="19" t="s">
        <v>902</v>
      </c>
      <c r="H205" s="19" t="s">
        <v>333</v>
      </c>
      <c r="I205" s="19" t="s">
        <v>35</v>
      </c>
      <c r="J205" s="19" t="s">
        <v>741</v>
      </c>
      <c r="K205" s="0" t="n">
        <v>1</v>
      </c>
      <c r="L205" s="20" t="n">
        <v>4422.99</v>
      </c>
      <c r="M205" s="20" t="n">
        <v>2901.83</v>
      </c>
      <c r="N205" s="20" t="n">
        <v>4422.99</v>
      </c>
      <c r="O205" s="20" t="n">
        <v>2901.83</v>
      </c>
      <c r="P205" s="20" t="n">
        <v>1521.16</v>
      </c>
      <c r="Q205" s="21" t="n">
        <v>0.3439</v>
      </c>
      <c r="R205" s="19" t="s">
        <v>1147</v>
      </c>
    </row>
    <row r="206" customFormat="false" ht="15" hidden="false" customHeight="false" outlineLevel="0" collapsed="false">
      <c r="A206" s="0" t="n">
        <v>205</v>
      </c>
      <c r="B206" s="18" t="n">
        <v>45292</v>
      </c>
      <c r="C206" s="0" t="n">
        <v>2024</v>
      </c>
      <c r="D206" s="0" t="n">
        <v>1</v>
      </c>
      <c r="E206" s="19" t="s">
        <v>782</v>
      </c>
      <c r="F206" s="19" t="s">
        <v>698</v>
      </c>
      <c r="G206" s="19" t="s">
        <v>774</v>
      </c>
      <c r="H206" s="19" t="s">
        <v>362</v>
      </c>
      <c r="I206" s="19" t="s">
        <v>54</v>
      </c>
      <c r="J206" s="19" t="s">
        <v>180</v>
      </c>
      <c r="K206" s="0" t="n">
        <v>2</v>
      </c>
      <c r="L206" s="20" t="n">
        <v>222.44</v>
      </c>
      <c r="M206" s="20" t="n">
        <v>136.91</v>
      </c>
      <c r="N206" s="20" t="n">
        <v>444.88</v>
      </c>
      <c r="O206" s="20" t="n">
        <v>273.82</v>
      </c>
      <c r="P206" s="20" t="n">
        <v>171.06</v>
      </c>
      <c r="Q206" s="21" t="n">
        <v>0.3845</v>
      </c>
      <c r="R206" s="19" t="s">
        <v>1145</v>
      </c>
    </row>
    <row r="207" customFormat="false" ht="15" hidden="false" customHeight="false" outlineLevel="0" collapsed="false">
      <c r="A207" s="0" t="n">
        <v>206</v>
      </c>
      <c r="B207" s="18" t="n">
        <v>45295</v>
      </c>
      <c r="C207" s="0" t="n">
        <v>2024</v>
      </c>
      <c r="D207" s="0" t="n">
        <v>1</v>
      </c>
      <c r="E207" s="19" t="s">
        <v>782</v>
      </c>
      <c r="F207" s="19" t="s">
        <v>853</v>
      </c>
      <c r="G207" s="19" t="s">
        <v>298</v>
      </c>
      <c r="H207" s="19" t="s">
        <v>362</v>
      </c>
      <c r="I207" s="19" t="s">
        <v>54</v>
      </c>
      <c r="J207" s="19" t="s">
        <v>758</v>
      </c>
      <c r="K207" s="0" t="n">
        <v>1</v>
      </c>
      <c r="L207" s="20" t="n">
        <v>2792.75</v>
      </c>
      <c r="M207" s="20" t="n">
        <v>1996.32</v>
      </c>
      <c r="N207" s="20" t="n">
        <v>2792.75</v>
      </c>
      <c r="O207" s="20" t="n">
        <v>1996.32</v>
      </c>
      <c r="P207" s="20" t="n">
        <v>796.43</v>
      </c>
      <c r="Q207" s="21" t="n">
        <v>0.2852</v>
      </c>
      <c r="R207" s="19" t="s">
        <v>1149</v>
      </c>
    </row>
    <row r="208" customFormat="false" ht="15" hidden="false" customHeight="false" outlineLevel="0" collapsed="false">
      <c r="A208" s="0" t="n">
        <v>207</v>
      </c>
      <c r="B208" s="18" t="n">
        <v>45296</v>
      </c>
      <c r="C208" s="0" t="n">
        <v>2024</v>
      </c>
      <c r="D208" s="0" t="n">
        <v>1</v>
      </c>
      <c r="E208" s="19" t="s">
        <v>782</v>
      </c>
      <c r="F208" s="19" t="s">
        <v>588</v>
      </c>
      <c r="G208" s="19" t="s">
        <v>1152</v>
      </c>
      <c r="H208" s="19" t="s">
        <v>333</v>
      </c>
      <c r="I208" s="19" t="s">
        <v>35</v>
      </c>
      <c r="J208" s="19" t="s">
        <v>758</v>
      </c>
      <c r="K208" s="0" t="n">
        <v>1</v>
      </c>
      <c r="L208" s="20" t="n">
        <v>818.07</v>
      </c>
      <c r="M208" s="20" t="n">
        <v>457.27</v>
      </c>
      <c r="N208" s="20" t="n">
        <v>818.07</v>
      </c>
      <c r="O208" s="20" t="n">
        <v>457.27</v>
      </c>
      <c r="P208" s="20" t="n">
        <v>360.8</v>
      </c>
      <c r="Q208" s="21" t="n">
        <v>0.441</v>
      </c>
      <c r="R208" s="19" t="s">
        <v>1145</v>
      </c>
    </row>
    <row r="209" customFormat="false" ht="15" hidden="false" customHeight="false" outlineLevel="0" collapsed="false">
      <c r="A209" s="0" t="n">
        <v>208</v>
      </c>
      <c r="B209" s="18" t="n">
        <v>45302</v>
      </c>
      <c r="C209" s="0" t="n">
        <v>2024</v>
      </c>
      <c r="D209" s="0" t="n">
        <v>1</v>
      </c>
      <c r="E209" s="19" t="s">
        <v>685</v>
      </c>
      <c r="F209" s="19" t="s">
        <v>958</v>
      </c>
      <c r="G209" s="19" t="s">
        <v>1150</v>
      </c>
      <c r="H209" s="19" t="s">
        <v>333</v>
      </c>
      <c r="I209" s="19" t="s">
        <v>35</v>
      </c>
      <c r="J209" s="19" t="s">
        <v>1156</v>
      </c>
      <c r="K209" s="0" t="n">
        <v>1</v>
      </c>
      <c r="L209" s="20" t="n">
        <v>1967.42</v>
      </c>
      <c r="M209" s="20" t="n">
        <v>1429.38</v>
      </c>
      <c r="N209" s="20" t="n">
        <v>1967.42</v>
      </c>
      <c r="O209" s="20" t="n">
        <v>1429.38</v>
      </c>
      <c r="P209" s="20" t="n">
        <v>538.04</v>
      </c>
      <c r="Q209" s="21" t="n">
        <v>0.2735</v>
      </c>
      <c r="R209" s="19" t="s">
        <v>1149</v>
      </c>
    </row>
    <row r="210" customFormat="false" ht="15" hidden="false" customHeight="false" outlineLevel="0" collapsed="false">
      <c r="A210" s="0" t="n">
        <v>209</v>
      </c>
      <c r="B210" s="18" t="n">
        <v>45302</v>
      </c>
      <c r="C210" s="0" t="n">
        <v>2024</v>
      </c>
      <c r="D210" s="0" t="n">
        <v>1</v>
      </c>
      <c r="E210" s="19" t="s">
        <v>782</v>
      </c>
      <c r="F210" s="19" t="s">
        <v>698</v>
      </c>
      <c r="G210" s="19" t="s">
        <v>173</v>
      </c>
      <c r="H210" s="19" t="s">
        <v>362</v>
      </c>
      <c r="I210" s="19" t="s">
        <v>35</v>
      </c>
      <c r="J210" s="19" t="s">
        <v>831</v>
      </c>
      <c r="K210" s="0" t="n">
        <v>1</v>
      </c>
      <c r="L210" s="20" t="n">
        <v>274.81</v>
      </c>
      <c r="M210" s="20" t="n">
        <v>164.84</v>
      </c>
      <c r="N210" s="20" t="n">
        <v>274.81</v>
      </c>
      <c r="O210" s="20" t="n">
        <v>164.84</v>
      </c>
      <c r="P210" s="20" t="n">
        <v>109.97</v>
      </c>
      <c r="Q210" s="21" t="n">
        <v>0.4002</v>
      </c>
      <c r="R210" s="19" t="s">
        <v>1145</v>
      </c>
    </row>
    <row r="211" customFormat="false" ht="15" hidden="false" customHeight="false" outlineLevel="0" collapsed="false">
      <c r="A211" s="0" t="n">
        <v>210</v>
      </c>
      <c r="B211" s="18" t="n">
        <v>45305</v>
      </c>
      <c r="C211" s="0" t="n">
        <v>2024</v>
      </c>
      <c r="D211" s="0" t="n">
        <v>1</v>
      </c>
      <c r="E211" s="19" t="s">
        <v>782</v>
      </c>
      <c r="F211" s="19" t="s">
        <v>958</v>
      </c>
      <c r="G211" s="19" t="s">
        <v>881</v>
      </c>
      <c r="H211" s="19" t="s">
        <v>333</v>
      </c>
      <c r="I211" s="19" t="s">
        <v>35</v>
      </c>
      <c r="J211" s="19" t="s">
        <v>1067</v>
      </c>
      <c r="K211" s="0" t="n">
        <v>1</v>
      </c>
      <c r="L211" s="20" t="n">
        <v>3006.03</v>
      </c>
      <c r="M211" s="20" t="n">
        <v>2002.81</v>
      </c>
      <c r="N211" s="20" t="n">
        <v>3006.03</v>
      </c>
      <c r="O211" s="20" t="n">
        <v>2002.81</v>
      </c>
      <c r="P211" s="20" t="n">
        <v>1003.22</v>
      </c>
      <c r="Q211" s="21" t="n">
        <v>0.3337</v>
      </c>
      <c r="R211" s="19" t="s">
        <v>1147</v>
      </c>
    </row>
    <row r="212" customFormat="false" ht="15" hidden="false" customHeight="false" outlineLevel="0" collapsed="false">
      <c r="A212" s="0" t="n">
        <v>211</v>
      </c>
      <c r="B212" s="18" t="n">
        <v>45307</v>
      </c>
      <c r="C212" s="0" t="n">
        <v>2024</v>
      </c>
      <c r="D212" s="0" t="n">
        <v>1</v>
      </c>
      <c r="E212" s="19" t="s">
        <v>268</v>
      </c>
      <c r="F212" s="19" t="s">
        <v>958</v>
      </c>
      <c r="G212" s="19" t="s">
        <v>902</v>
      </c>
      <c r="H212" s="19" t="s">
        <v>362</v>
      </c>
      <c r="I212" s="19" t="s">
        <v>54</v>
      </c>
      <c r="J212" s="19" t="s">
        <v>586</v>
      </c>
      <c r="K212" s="0" t="n">
        <v>1</v>
      </c>
      <c r="L212" s="20" t="n">
        <v>3879.56</v>
      </c>
      <c r="M212" s="20" t="n">
        <v>2948.68</v>
      </c>
      <c r="N212" s="20" t="n">
        <v>3879.56</v>
      </c>
      <c r="O212" s="20" t="n">
        <v>2948.68</v>
      </c>
      <c r="P212" s="20" t="n">
        <v>930.88</v>
      </c>
      <c r="Q212" s="21" t="n">
        <v>0.2399</v>
      </c>
      <c r="R212" s="19" t="s">
        <v>1147</v>
      </c>
    </row>
    <row r="213" customFormat="false" ht="15" hidden="false" customHeight="false" outlineLevel="0" collapsed="false">
      <c r="A213" s="0" t="n">
        <v>212</v>
      </c>
      <c r="B213" s="18" t="n">
        <v>45308</v>
      </c>
      <c r="C213" s="0" t="n">
        <v>2024</v>
      </c>
      <c r="D213" s="0" t="n">
        <v>1</v>
      </c>
      <c r="E213" s="19" t="s">
        <v>268</v>
      </c>
      <c r="F213" s="19" t="s">
        <v>958</v>
      </c>
      <c r="G213" s="19" t="s">
        <v>881</v>
      </c>
      <c r="H213" s="19" t="s">
        <v>333</v>
      </c>
      <c r="I213" s="19" t="s">
        <v>35</v>
      </c>
      <c r="J213" s="19" t="s">
        <v>1155</v>
      </c>
      <c r="K213" s="0" t="n">
        <v>1</v>
      </c>
      <c r="L213" s="20" t="n">
        <v>1436.86</v>
      </c>
      <c r="M213" s="20" t="n">
        <v>902.2</v>
      </c>
      <c r="N213" s="20" t="n">
        <v>1436.86</v>
      </c>
      <c r="O213" s="20" t="n">
        <v>902.2</v>
      </c>
      <c r="P213" s="20" t="n">
        <v>534.66</v>
      </c>
      <c r="Q213" s="21" t="n">
        <v>0.3721</v>
      </c>
      <c r="R213" s="19" t="s">
        <v>1149</v>
      </c>
    </row>
    <row r="214" customFormat="false" ht="15" hidden="false" customHeight="false" outlineLevel="0" collapsed="false">
      <c r="A214" s="0" t="n">
        <v>213</v>
      </c>
      <c r="B214" s="18" t="n">
        <v>45309</v>
      </c>
      <c r="C214" s="0" t="n">
        <v>2024</v>
      </c>
      <c r="D214" s="0" t="n">
        <v>1</v>
      </c>
      <c r="E214" s="19" t="s">
        <v>204</v>
      </c>
      <c r="F214" s="19" t="s">
        <v>958</v>
      </c>
      <c r="G214" s="19" t="s">
        <v>1150</v>
      </c>
      <c r="H214" s="19" t="s">
        <v>333</v>
      </c>
      <c r="I214" s="19" t="s">
        <v>35</v>
      </c>
      <c r="J214" s="19" t="s">
        <v>741</v>
      </c>
      <c r="K214" s="0" t="n">
        <v>1</v>
      </c>
      <c r="L214" s="20" t="n">
        <v>3789.54</v>
      </c>
      <c r="M214" s="20" t="n">
        <v>2427.18</v>
      </c>
      <c r="N214" s="20" t="n">
        <v>3789.54</v>
      </c>
      <c r="O214" s="20" t="n">
        <v>2427.18</v>
      </c>
      <c r="P214" s="20" t="n">
        <v>1362.36</v>
      </c>
      <c r="Q214" s="21" t="n">
        <v>0.3595</v>
      </c>
      <c r="R214" s="19" t="s">
        <v>1147</v>
      </c>
    </row>
    <row r="215" customFormat="false" ht="15" hidden="false" customHeight="false" outlineLevel="0" collapsed="false">
      <c r="A215" s="0" t="n">
        <v>214</v>
      </c>
      <c r="B215" s="18" t="n">
        <v>45314</v>
      </c>
      <c r="C215" s="0" t="n">
        <v>2024</v>
      </c>
      <c r="D215" s="0" t="n">
        <v>1</v>
      </c>
      <c r="E215" s="19" t="s">
        <v>782</v>
      </c>
      <c r="F215" s="19" t="s">
        <v>588</v>
      </c>
      <c r="G215" s="19" t="s">
        <v>1153</v>
      </c>
      <c r="H215" s="19" t="s">
        <v>362</v>
      </c>
      <c r="I215" s="19" t="s">
        <v>35</v>
      </c>
      <c r="J215" s="19" t="s">
        <v>1155</v>
      </c>
      <c r="K215" s="0" t="n">
        <v>1</v>
      </c>
      <c r="L215" s="20" t="n">
        <v>295.92</v>
      </c>
      <c r="M215" s="20" t="n">
        <v>187.71</v>
      </c>
      <c r="N215" s="20" t="n">
        <v>295.92</v>
      </c>
      <c r="O215" s="20" t="n">
        <v>187.71</v>
      </c>
      <c r="P215" s="20" t="n">
        <v>108.21</v>
      </c>
      <c r="Q215" s="21" t="n">
        <v>0.3657</v>
      </c>
      <c r="R215" s="19" t="s">
        <v>1145</v>
      </c>
    </row>
    <row r="216" customFormat="false" ht="15" hidden="false" customHeight="false" outlineLevel="0" collapsed="false">
      <c r="A216" s="0" t="n">
        <v>215</v>
      </c>
      <c r="B216" s="18" t="n">
        <v>45315</v>
      </c>
      <c r="C216" s="0" t="n">
        <v>2024</v>
      </c>
      <c r="D216" s="0" t="n">
        <v>1</v>
      </c>
      <c r="E216" s="19" t="s">
        <v>204</v>
      </c>
      <c r="F216" s="19" t="s">
        <v>588</v>
      </c>
      <c r="G216" s="19" t="s">
        <v>1153</v>
      </c>
      <c r="H216" s="19" t="s">
        <v>362</v>
      </c>
      <c r="I216" s="19" t="s">
        <v>35</v>
      </c>
      <c r="J216" s="19" t="s">
        <v>180</v>
      </c>
      <c r="K216" s="0" t="n">
        <v>1</v>
      </c>
      <c r="L216" s="20" t="n">
        <v>231.13</v>
      </c>
      <c r="M216" s="20" t="n">
        <v>147.31</v>
      </c>
      <c r="N216" s="20" t="n">
        <v>231.13</v>
      </c>
      <c r="O216" s="20" t="n">
        <v>147.31</v>
      </c>
      <c r="P216" s="20" t="n">
        <v>83.82</v>
      </c>
      <c r="Q216" s="21" t="n">
        <v>0.3627</v>
      </c>
      <c r="R216" s="19" t="s">
        <v>1145</v>
      </c>
    </row>
    <row r="217" customFormat="false" ht="15" hidden="false" customHeight="false" outlineLevel="0" collapsed="false">
      <c r="A217" s="0" t="n">
        <v>216</v>
      </c>
      <c r="B217" s="18" t="n">
        <v>45317</v>
      </c>
      <c r="C217" s="0" t="n">
        <v>2024</v>
      </c>
      <c r="D217" s="0" t="n">
        <v>1</v>
      </c>
      <c r="E217" s="19" t="s">
        <v>782</v>
      </c>
      <c r="F217" s="19" t="s">
        <v>958</v>
      </c>
      <c r="G217" s="19" t="s">
        <v>1150</v>
      </c>
      <c r="H217" s="19" t="s">
        <v>333</v>
      </c>
      <c r="I217" s="19" t="s">
        <v>54</v>
      </c>
      <c r="J217" s="19" t="s">
        <v>1161</v>
      </c>
      <c r="K217" s="0" t="n">
        <v>1</v>
      </c>
      <c r="L217" s="20" t="n">
        <v>3146.95</v>
      </c>
      <c r="M217" s="20" t="n">
        <v>1788.37</v>
      </c>
      <c r="N217" s="20" t="n">
        <v>3146.95</v>
      </c>
      <c r="O217" s="20" t="n">
        <v>1788.37</v>
      </c>
      <c r="P217" s="20" t="n">
        <v>1358.58</v>
      </c>
      <c r="Q217" s="21" t="n">
        <v>0.4317</v>
      </c>
      <c r="R217" s="19" t="s">
        <v>1147</v>
      </c>
    </row>
    <row r="218" customFormat="false" ht="15" hidden="false" customHeight="false" outlineLevel="0" collapsed="false">
      <c r="A218" s="0" t="n">
        <v>217</v>
      </c>
      <c r="B218" s="18" t="n">
        <v>45318</v>
      </c>
      <c r="C218" s="0" t="n">
        <v>2024</v>
      </c>
      <c r="D218" s="0" t="n">
        <v>1</v>
      </c>
      <c r="E218" s="19" t="s">
        <v>782</v>
      </c>
      <c r="F218" s="19" t="s">
        <v>588</v>
      </c>
      <c r="G218" s="19" t="s">
        <v>1152</v>
      </c>
      <c r="H218" s="19" t="s">
        <v>333</v>
      </c>
      <c r="I218" s="19" t="s">
        <v>35</v>
      </c>
      <c r="J218" s="19" t="s">
        <v>647</v>
      </c>
      <c r="K218" s="0" t="n">
        <v>1</v>
      </c>
      <c r="L218" s="20" t="n">
        <v>384.8</v>
      </c>
      <c r="M218" s="20" t="n">
        <v>281.29</v>
      </c>
      <c r="N218" s="20" t="n">
        <v>384.8</v>
      </c>
      <c r="O218" s="20" t="n">
        <v>281.29</v>
      </c>
      <c r="P218" s="20" t="n">
        <v>103.51</v>
      </c>
      <c r="Q218" s="21" t="n">
        <v>0.269</v>
      </c>
      <c r="R218" s="19" t="s">
        <v>1145</v>
      </c>
    </row>
    <row r="219" customFormat="false" ht="15" hidden="false" customHeight="false" outlineLevel="0" collapsed="false">
      <c r="A219" s="0" t="n">
        <v>218</v>
      </c>
      <c r="B219" s="18" t="n">
        <v>45330</v>
      </c>
      <c r="C219" s="0" t="n">
        <v>2024</v>
      </c>
      <c r="D219" s="0" t="n">
        <v>2</v>
      </c>
      <c r="E219" s="19" t="s">
        <v>782</v>
      </c>
      <c r="F219" s="19" t="s">
        <v>853</v>
      </c>
      <c r="G219" s="19" t="s">
        <v>298</v>
      </c>
      <c r="H219" s="19" t="s">
        <v>362</v>
      </c>
      <c r="I219" s="19" t="s">
        <v>35</v>
      </c>
      <c r="J219" s="19" t="s">
        <v>1161</v>
      </c>
      <c r="K219" s="0" t="n">
        <v>1</v>
      </c>
      <c r="L219" s="20" t="n">
        <v>915.45</v>
      </c>
      <c r="M219" s="20" t="n">
        <v>661.69</v>
      </c>
      <c r="N219" s="20" t="n">
        <v>915.45</v>
      </c>
      <c r="O219" s="20" t="n">
        <v>661.69</v>
      </c>
      <c r="P219" s="20" t="n">
        <v>253.76</v>
      </c>
      <c r="Q219" s="21" t="n">
        <v>0.2772</v>
      </c>
      <c r="R219" s="19" t="s">
        <v>1145</v>
      </c>
    </row>
    <row r="220" customFormat="false" ht="15" hidden="false" customHeight="false" outlineLevel="0" collapsed="false">
      <c r="A220" s="0" t="n">
        <v>219</v>
      </c>
      <c r="B220" s="18" t="n">
        <v>45331</v>
      </c>
      <c r="C220" s="0" t="n">
        <v>2024</v>
      </c>
      <c r="D220" s="0" t="n">
        <v>2</v>
      </c>
      <c r="E220" s="19" t="s">
        <v>204</v>
      </c>
      <c r="F220" s="19" t="s">
        <v>958</v>
      </c>
      <c r="G220" s="19" t="s">
        <v>572</v>
      </c>
      <c r="H220" s="19" t="s">
        <v>333</v>
      </c>
      <c r="I220" s="19" t="s">
        <v>35</v>
      </c>
      <c r="J220" s="19" t="s">
        <v>1158</v>
      </c>
      <c r="K220" s="0" t="n">
        <v>2</v>
      </c>
      <c r="L220" s="20" t="n">
        <v>2155.12</v>
      </c>
      <c r="M220" s="20" t="n">
        <v>1635.2</v>
      </c>
      <c r="N220" s="20" t="n">
        <v>4310.24</v>
      </c>
      <c r="O220" s="20" t="n">
        <v>3270.4</v>
      </c>
      <c r="P220" s="20" t="n">
        <v>1039.84</v>
      </c>
      <c r="Q220" s="21" t="n">
        <v>0.2412</v>
      </c>
      <c r="R220" s="19" t="s">
        <v>1147</v>
      </c>
    </row>
    <row r="221" customFormat="false" ht="15" hidden="false" customHeight="false" outlineLevel="0" collapsed="false">
      <c r="A221" s="0" t="n">
        <v>220</v>
      </c>
      <c r="B221" s="18" t="n">
        <v>45331</v>
      </c>
      <c r="C221" s="0" t="n">
        <v>2024</v>
      </c>
      <c r="D221" s="0" t="n">
        <v>2</v>
      </c>
      <c r="E221" s="19" t="s">
        <v>268</v>
      </c>
      <c r="F221" s="19" t="s">
        <v>958</v>
      </c>
      <c r="G221" s="19" t="s">
        <v>881</v>
      </c>
      <c r="H221" s="19" t="s">
        <v>362</v>
      </c>
      <c r="I221" s="19" t="s">
        <v>54</v>
      </c>
      <c r="J221" s="19" t="s">
        <v>1048</v>
      </c>
      <c r="K221" s="0" t="n">
        <v>1</v>
      </c>
      <c r="L221" s="20" t="n">
        <v>1792.32</v>
      </c>
      <c r="M221" s="20" t="n">
        <v>1171.22</v>
      </c>
      <c r="N221" s="20" t="n">
        <v>1792.32</v>
      </c>
      <c r="O221" s="20" t="n">
        <v>1171.22</v>
      </c>
      <c r="P221" s="20" t="n">
        <v>621.1</v>
      </c>
      <c r="Q221" s="21" t="n">
        <v>0.3465</v>
      </c>
      <c r="R221" s="19" t="s">
        <v>1149</v>
      </c>
    </row>
    <row r="222" customFormat="false" ht="15" hidden="false" customHeight="false" outlineLevel="0" collapsed="false">
      <c r="A222" s="0" t="n">
        <v>221</v>
      </c>
      <c r="B222" s="18" t="n">
        <v>45331</v>
      </c>
      <c r="C222" s="0" t="n">
        <v>2024</v>
      </c>
      <c r="D222" s="0" t="n">
        <v>2</v>
      </c>
      <c r="E222" s="19" t="s">
        <v>204</v>
      </c>
      <c r="F222" s="19" t="s">
        <v>588</v>
      </c>
      <c r="G222" s="19" t="s">
        <v>1159</v>
      </c>
      <c r="H222" s="19" t="s">
        <v>333</v>
      </c>
      <c r="I222" s="19" t="s">
        <v>35</v>
      </c>
      <c r="J222" s="19" t="s">
        <v>716</v>
      </c>
      <c r="K222" s="0" t="n">
        <v>1</v>
      </c>
      <c r="L222" s="20" t="n">
        <v>464.85</v>
      </c>
      <c r="M222" s="20" t="n">
        <v>275.01</v>
      </c>
      <c r="N222" s="20" t="n">
        <v>464.85</v>
      </c>
      <c r="O222" s="20" t="n">
        <v>275.01</v>
      </c>
      <c r="P222" s="20" t="n">
        <v>189.84</v>
      </c>
      <c r="Q222" s="21" t="n">
        <v>0.4084</v>
      </c>
      <c r="R222" s="19" t="s">
        <v>1145</v>
      </c>
    </row>
    <row r="223" customFormat="false" ht="15" hidden="false" customHeight="false" outlineLevel="0" collapsed="false">
      <c r="A223" s="0" t="n">
        <v>222</v>
      </c>
      <c r="B223" s="18" t="n">
        <v>45332</v>
      </c>
      <c r="C223" s="0" t="n">
        <v>2024</v>
      </c>
      <c r="D223" s="0" t="n">
        <v>2</v>
      </c>
      <c r="E223" s="19" t="s">
        <v>268</v>
      </c>
      <c r="F223" s="19" t="s">
        <v>588</v>
      </c>
      <c r="G223" s="19" t="s">
        <v>1151</v>
      </c>
      <c r="H223" s="19" t="s">
        <v>362</v>
      </c>
      <c r="I223" s="19" t="s">
        <v>35</v>
      </c>
      <c r="J223" s="19" t="s">
        <v>647</v>
      </c>
      <c r="K223" s="0" t="n">
        <v>1</v>
      </c>
      <c r="L223" s="20" t="n">
        <v>790.62</v>
      </c>
      <c r="M223" s="20" t="n">
        <v>595.9</v>
      </c>
      <c r="N223" s="20" t="n">
        <v>790.62</v>
      </c>
      <c r="O223" s="20" t="n">
        <v>595.9</v>
      </c>
      <c r="P223" s="20" t="n">
        <v>194.72</v>
      </c>
      <c r="Q223" s="21" t="n">
        <v>0.2463</v>
      </c>
      <c r="R223" s="19" t="s">
        <v>1145</v>
      </c>
    </row>
    <row r="224" customFormat="false" ht="15" hidden="false" customHeight="false" outlineLevel="0" collapsed="false">
      <c r="A224" s="0" t="n">
        <v>223</v>
      </c>
      <c r="B224" s="18" t="n">
        <v>45332</v>
      </c>
      <c r="C224" s="0" t="n">
        <v>2024</v>
      </c>
      <c r="D224" s="0" t="n">
        <v>2</v>
      </c>
      <c r="E224" s="19" t="s">
        <v>937</v>
      </c>
      <c r="F224" s="19" t="s">
        <v>958</v>
      </c>
      <c r="G224" s="19" t="s">
        <v>862</v>
      </c>
      <c r="H224" s="19" t="s">
        <v>333</v>
      </c>
      <c r="I224" s="19" t="s">
        <v>35</v>
      </c>
      <c r="J224" s="19" t="s">
        <v>1067</v>
      </c>
      <c r="K224" s="0" t="n">
        <v>1</v>
      </c>
      <c r="L224" s="20" t="n">
        <v>2415.54</v>
      </c>
      <c r="M224" s="20" t="n">
        <v>1493.48</v>
      </c>
      <c r="N224" s="20" t="n">
        <v>2415.54</v>
      </c>
      <c r="O224" s="20" t="n">
        <v>1493.48</v>
      </c>
      <c r="P224" s="20" t="n">
        <v>922.06</v>
      </c>
      <c r="Q224" s="21" t="n">
        <v>0.3817</v>
      </c>
      <c r="R224" s="19" t="s">
        <v>1149</v>
      </c>
    </row>
    <row r="225" customFormat="false" ht="15" hidden="false" customHeight="false" outlineLevel="0" collapsed="false">
      <c r="A225" s="0" t="n">
        <v>224</v>
      </c>
      <c r="B225" s="18" t="n">
        <v>45333</v>
      </c>
      <c r="C225" s="0" t="n">
        <v>2024</v>
      </c>
      <c r="D225" s="0" t="n">
        <v>2</v>
      </c>
      <c r="E225" s="19" t="s">
        <v>268</v>
      </c>
      <c r="F225" s="19" t="s">
        <v>958</v>
      </c>
      <c r="G225" s="19" t="s">
        <v>862</v>
      </c>
      <c r="H225" s="19" t="s">
        <v>362</v>
      </c>
      <c r="I225" s="19" t="s">
        <v>35</v>
      </c>
      <c r="J225" s="19" t="s">
        <v>1067</v>
      </c>
      <c r="K225" s="0" t="n">
        <v>2</v>
      </c>
      <c r="L225" s="20" t="n">
        <v>1852.77</v>
      </c>
      <c r="M225" s="20" t="n">
        <v>1385.77</v>
      </c>
      <c r="N225" s="20" t="n">
        <v>3705.54</v>
      </c>
      <c r="O225" s="20" t="n">
        <v>2771.54</v>
      </c>
      <c r="P225" s="20" t="n">
        <v>934</v>
      </c>
      <c r="Q225" s="21" t="n">
        <v>0.2521</v>
      </c>
      <c r="R225" s="19" t="s">
        <v>1147</v>
      </c>
    </row>
    <row r="226" customFormat="false" ht="15" hidden="false" customHeight="false" outlineLevel="0" collapsed="false">
      <c r="A226" s="0" t="n">
        <v>225</v>
      </c>
      <c r="B226" s="18" t="n">
        <v>45335</v>
      </c>
      <c r="C226" s="0" t="n">
        <v>2024</v>
      </c>
      <c r="D226" s="0" t="n">
        <v>2</v>
      </c>
      <c r="E226" s="19" t="s">
        <v>268</v>
      </c>
      <c r="F226" s="19" t="s">
        <v>698</v>
      </c>
      <c r="G226" s="19" t="s">
        <v>252</v>
      </c>
      <c r="H226" s="19" t="s">
        <v>362</v>
      </c>
      <c r="I226" s="19" t="s">
        <v>54</v>
      </c>
      <c r="J226" s="19" t="s">
        <v>1067</v>
      </c>
      <c r="K226" s="0" t="n">
        <v>1</v>
      </c>
      <c r="L226" s="20" t="n">
        <v>199.87</v>
      </c>
      <c r="M226" s="20" t="n">
        <v>121.18</v>
      </c>
      <c r="N226" s="20" t="n">
        <v>199.87</v>
      </c>
      <c r="O226" s="20" t="n">
        <v>121.18</v>
      </c>
      <c r="P226" s="20" t="n">
        <v>78.69</v>
      </c>
      <c r="Q226" s="21" t="n">
        <v>0.3937</v>
      </c>
      <c r="R226" s="19" t="s">
        <v>1145</v>
      </c>
    </row>
    <row r="227" customFormat="false" ht="15" hidden="false" customHeight="false" outlineLevel="0" collapsed="false">
      <c r="A227" s="0" t="n">
        <v>226</v>
      </c>
      <c r="B227" s="18" t="n">
        <v>45339</v>
      </c>
      <c r="C227" s="0" t="n">
        <v>2024</v>
      </c>
      <c r="D227" s="0" t="n">
        <v>2</v>
      </c>
      <c r="E227" s="19" t="s">
        <v>782</v>
      </c>
      <c r="F227" s="19" t="s">
        <v>698</v>
      </c>
      <c r="G227" s="19" t="s">
        <v>774</v>
      </c>
      <c r="H227" s="19" t="s">
        <v>362</v>
      </c>
      <c r="I227" s="19" t="s">
        <v>35</v>
      </c>
      <c r="J227" s="19" t="s">
        <v>647</v>
      </c>
      <c r="K227" s="0" t="n">
        <v>1</v>
      </c>
      <c r="L227" s="20" t="n">
        <v>143.67</v>
      </c>
      <c r="M227" s="20" t="n">
        <v>108.7</v>
      </c>
      <c r="N227" s="20" t="n">
        <v>143.67</v>
      </c>
      <c r="O227" s="20" t="n">
        <v>108.7</v>
      </c>
      <c r="P227" s="20" t="n">
        <v>34.97</v>
      </c>
      <c r="Q227" s="21" t="n">
        <v>0.2434</v>
      </c>
      <c r="R227" s="19" t="s">
        <v>1145</v>
      </c>
    </row>
    <row r="228" customFormat="false" ht="15" hidden="false" customHeight="false" outlineLevel="0" collapsed="false">
      <c r="A228" s="0" t="n">
        <v>227</v>
      </c>
      <c r="B228" s="18" t="n">
        <v>45339</v>
      </c>
      <c r="C228" s="0" t="n">
        <v>2024</v>
      </c>
      <c r="D228" s="0" t="n">
        <v>2</v>
      </c>
      <c r="E228" s="19" t="s">
        <v>204</v>
      </c>
      <c r="F228" s="19" t="s">
        <v>958</v>
      </c>
      <c r="G228" s="19" t="s">
        <v>572</v>
      </c>
      <c r="H228" s="19" t="s">
        <v>362</v>
      </c>
      <c r="I228" s="19" t="s">
        <v>35</v>
      </c>
      <c r="J228" s="19" t="s">
        <v>1160</v>
      </c>
      <c r="K228" s="0" t="n">
        <v>1</v>
      </c>
      <c r="L228" s="20" t="n">
        <v>2204.74</v>
      </c>
      <c r="M228" s="20" t="n">
        <v>1261.78</v>
      </c>
      <c r="N228" s="20" t="n">
        <v>2204.74</v>
      </c>
      <c r="O228" s="20" t="n">
        <v>1261.78</v>
      </c>
      <c r="P228" s="20" t="n">
        <v>942.96</v>
      </c>
      <c r="Q228" s="21" t="n">
        <v>0.4277</v>
      </c>
      <c r="R228" s="19" t="s">
        <v>1149</v>
      </c>
    </row>
    <row r="229" customFormat="false" ht="15" hidden="false" customHeight="false" outlineLevel="0" collapsed="false">
      <c r="A229" s="0" t="n">
        <v>228</v>
      </c>
      <c r="B229" s="18" t="n">
        <v>45342</v>
      </c>
      <c r="C229" s="0" t="n">
        <v>2024</v>
      </c>
      <c r="D229" s="0" t="n">
        <v>2</v>
      </c>
      <c r="E229" s="19" t="s">
        <v>782</v>
      </c>
      <c r="F229" s="19" t="s">
        <v>960</v>
      </c>
      <c r="G229" s="19" t="s">
        <v>1002</v>
      </c>
      <c r="H229" s="19" t="s">
        <v>362</v>
      </c>
      <c r="I229" s="19" t="s">
        <v>35</v>
      </c>
      <c r="J229" s="19" t="s">
        <v>1067</v>
      </c>
      <c r="K229" s="0" t="n">
        <v>1</v>
      </c>
      <c r="L229" s="20" t="n">
        <v>5848.08</v>
      </c>
      <c r="M229" s="20" t="n">
        <v>3766.76</v>
      </c>
      <c r="N229" s="20" t="n">
        <v>5848.08</v>
      </c>
      <c r="O229" s="20" t="n">
        <v>3766.76</v>
      </c>
      <c r="P229" s="20" t="n">
        <v>2081.32</v>
      </c>
      <c r="Q229" s="21" t="n">
        <v>0.3559</v>
      </c>
      <c r="R229" s="19" t="s">
        <v>1147</v>
      </c>
    </row>
    <row r="230" customFormat="false" ht="15" hidden="false" customHeight="false" outlineLevel="0" collapsed="false">
      <c r="A230" s="0" t="n">
        <v>229</v>
      </c>
      <c r="B230" s="18" t="n">
        <v>45343</v>
      </c>
      <c r="C230" s="0" t="n">
        <v>2024</v>
      </c>
      <c r="D230" s="0" t="n">
        <v>2</v>
      </c>
      <c r="E230" s="19" t="s">
        <v>937</v>
      </c>
      <c r="F230" s="19" t="s">
        <v>698</v>
      </c>
      <c r="G230" s="19" t="s">
        <v>774</v>
      </c>
      <c r="H230" s="19" t="s">
        <v>333</v>
      </c>
      <c r="I230" s="19" t="s">
        <v>54</v>
      </c>
      <c r="J230" s="19" t="s">
        <v>1054</v>
      </c>
      <c r="K230" s="0" t="n">
        <v>1</v>
      </c>
      <c r="L230" s="20" t="n">
        <v>309.95</v>
      </c>
      <c r="M230" s="20" t="n">
        <v>228.9</v>
      </c>
      <c r="N230" s="20" t="n">
        <v>309.95</v>
      </c>
      <c r="O230" s="20" t="n">
        <v>228.9</v>
      </c>
      <c r="P230" s="20" t="n">
        <v>81.05</v>
      </c>
      <c r="Q230" s="21" t="n">
        <v>0.2615</v>
      </c>
      <c r="R230" s="19" t="s">
        <v>1145</v>
      </c>
    </row>
    <row r="231" customFormat="false" ht="15" hidden="false" customHeight="false" outlineLevel="0" collapsed="false">
      <c r="A231" s="0" t="n">
        <v>230</v>
      </c>
      <c r="B231" s="18" t="n">
        <v>45344</v>
      </c>
      <c r="C231" s="0" t="n">
        <v>2024</v>
      </c>
      <c r="D231" s="0" t="n">
        <v>2</v>
      </c>
      <c r="E231" s="19" t="s">
        <v>782</v>
      </c>
      <c r="F231" s="19" t="s">
        <v>958</v>
      </c>
      <c r="G231" s="19" t="s">
        <v>862</v>
      </c>
      <c r="H231" s="19" t="s">
        <v>362</v>
      </c>
      <c r="I231" s="19" t="s">
        <v>35</v>
      </c>
      <c r="J231" s="19" t="s">
        <v>1156</v>
      </c>
      <c r="K231" s="0" t="n">
        <v>2</v>
      </c>
      <c r="L231" s="20" t="n">
        <v>2340.27</v>
      </c>
      <c r="M231" s="20" t="n">
        <v>1760.51</v>
      </c>
      <c r="N231" s="20" t="n">
        <v>4680.54</v>
      </c>
      <c r="O231" s="20" t="n">
        <v>3521.02</v>
      </c>
      <c r="P231" s="20" t="n">
        <v>1159.52</v>
      </c>
      <c r="Q231" s="21" t="n">
        <v>0.2477</v>
      </c>
      <c r="R231" s="19" t="s">
        <v>1147</v>
      </c>
    </row>
    <row r="232" customFormat="false" ht="15" hidden="false" customHeight="false" outlineLevel="0" collapsed="false">
      <c r="A232" s="0" t="n">
        <v>231</v>
      </c>
      <c r="B232" s="18" t="n">
        <v>45344</v>
      </c>
      <c r="C232" s="0" t="n">
        <v>2024</v>
      </c>
      <c r="D232" s="0" t="n">
        <v>2</v>
      </c>
      <c r="E232" s="19" t="s">
        <v>782</v>
      </c>
      <c r="F232" s="19" t="s">
        <v>588</v>
      </c>
      <c r="G232" s="19" t="s">
        <v>1152</v>
      </c>
      <c r="H232" s="19" t="s">
        <v>333</v>
      </c>
      <c r="I232" s="19" t="s">
        <v>35</v>
      </c>
      <c r="J232" s="19" t="s">
        <v>1158</v>
      </c>
      <c r="K232" s="0" t="n">
        <v>1</v>
      </c>
      <c r="L232" s="20" t="n">
        <v>146.55</v>
      </c>
      <c r="M232" s="20" t="n">
        <v>96.69</v>
      </c>
      <c r="N232" s="20" t="n">
        <v>146.55</v>
      </c>
      <c r="O232" s="20" t="n">
        <v>96.69</v>
      </c>
      <c r="P232" s="20" t="n">
        <v>49.86</v>
      </c>
      <c r="Q232" s="21" t="n">
        <v>0.3402</v>
      </c>
      <c r="R232" s="19" t="s">
        <v>1145</v>
      </c>
    </row>
    <row r="233" customFormat="false" ht="15" hidden="false" customHeight="false" outlineLevel="0" collapsed="false">
      <c r="A233" s="0" t="n">
        <v>232</v>
      </c>
      <c r="B233" s="18" t="n">
        <v>45349</v>
      </c>
      <c r="C233" s="0" t="n">
        <v>2024</v>
      </c>
      <c r="D233" s="0" t="n">
        <v>2</v>
      </c>
      <c r="E233" s="19" t="s">
        <v>268</v>
      </c>
      <c r="F233" s="19" t="s">
        <v>960</v>
      </c>
      <c r="G233" s="19" t="s">
        <v>1146</v>
      </c>
      <c r="H233" s="19" t="s">
        <v>362</v>
      </c>
      <c r="I233" s="19" t="s">
        <v>35</v>
      </c>
      <c r="J233" s="19" t="s">
        <v>613</v>
      </c>
      <c r="K233" s="0" t="n">
        <v>1</v>
      </c>
      <c r="L233" s="20" t="n">
        <v>4551.83</v>
      </c>
      <c r="M233" s="20" t="n">
        <v>2786.53</v>
      </c>
      <c r="N233" s="20" t="n">
        <v>4551.83</v>
      </c>
      <c r="O233" s="20" t="n">
        <v>2786.53</v>
      </c>
      <c r="P233" s="20" t="n">
        <v>1765.3</v>
      </c>
      <c r="Q233" s="21" t="n">
        <v>0.3878</v>
      </c>
      <c r="R233" s="19" t="s">
        <v>1147</v>
      </c>
    </row>
    <row r="234" customFormat="false" ht="15" hidden="false" customHeight="false" outlineLevel="0" collapsed="false">
      <c r="A234" s="0" t="n">
        <v>233</v>
      </c>
      <c r="B234" s="18" t="n">
        <v>45351</v>
      </c>
      <c r="C234" s="0" t="n">
        <v>2024</v>
      </c>
      <c r="D234" s="0" t="n">
        <v>2</v>
      </c>
      <c r="E234" s="19" t="s">
        <v>782</v>
      </c>
      <c r="F234" s="19" t="s">
        <v>960</v>
      </c>
      <c r="G234" s="19" t="s">
        <v>1162</v>
      </c>
      <c r="H234" s="19" t="s">
        <v>333</v>
      </c>
      <c r="I234" s="19" t="s">
        <v>54</v>
      </c>
      <c r="J234" s="19" t="s">
        <v>586</v>
      </c>
      <c r="K234" s="0" t="n">
        <v>1</v>
      </c>
      <c r="L234" s="20" t="n">
        <v>5355.42</v>
      </c>
      <c r="M234" s="20" t="n">
        <v>3164.62</v>
      </c>
      <c r="N234" s="20" t="n">
        <v>5355.42</v>
      </c>
      <c r="O234" s="20" t="n">
        <v>3164.62</v>
      </c>
      <c r="P234" s="20" t="n">
        <v>2190.8</v>
      </c>
      <c r="Q234" s="21" t="n">
        <v>0.4091</v>
      </c>
      <c r="R234" s="19" t="s">
        <v>1147</v>
      </c>
    </row>
    <row r="235" customFormat="false" ht="15" hidden="false" customHeight="false" outlineLevel="0" collapsed="false">
      <c r="A235" s="0" t="n">
        <v>234</v>
      </c>
      <c r="B235" s="18" t="n">
        <v>45351</v>
      </c>
      <c r="C235" s="0" t="n">
        <v>2024</v>
      </c>
      <c r="D235" s="0" t="n">
        <v>2</v>
      </c>
      <c r="E235" s="19" t="s">
        <v>937</v>
      </c>
      <c r="F235" s="19" t="s">
        <v>853</v>
      </c>
      <c r="G235" s="19" t="s">
        <v>1148</v>
      </c>
      <c r="H235" s="19" t="s">
        <v>362</v>
      </c>
      <c r="I235" s="19" t="s">
        <v>35</v>
      </c>
      <c r="J235" s="19" t="s">
        <v>1054</v>
      </c>
      <c r="K235" s="0" t="n">
        <v>1</v>
      </c>
      <c r="L235" s="20" t="n">
        <v>2018.45</v>
      </c>
      <c r="M235" s="20" t="n">
        <v>1362.85</v>
      </c>
      <c r="N235" s="20" t="n">
        <v>2018.45</v>
      </c>
      <c r="O235" s="20" t="n">
        <v>1362.85</v>
      </c>
      <c r="P235" s="20" t="n">
        <v>655.6</v>
      </c>
      <c r="Q235" s="21" t="n">
        <v>0.3248</v>
      </c>
      <c r="R235" s="19" t="s">
        <v>1149</v>
      </c>
    </row>
    <row r="236" customFormat="false" ht="15" hidden="false" customHeight="false" outlineLevel="0" collapsed="false">
      <c r="A236" s="0" t="n">
        <v>235</v>
      </c>
      <c r="B236" s="18" t="n">
        <v>45353</v>
      </c>
      <c r="C236" s="0" t="n">
        <v>2024</v>
      </c>
      <c r="D236" s="0" t="n">
        <v>3</v>
      </c>
      <c r="E236" s="19" t="s">
        <v>937</v>
      </c>
      <c r="F236" s="19" t="s">
        <v>853</v>
      </c>
      <c r="G236" s="19" t="s">
        <v>298</v>
      </c>
      <c r="H236" s="19" t="s">
        <v>362</v>
      </c>
      <c r="I236" s="19" t="s">
        <v>35</v>
      </c>
      <c r="J236" s="19" t="s">
        <v>180</v>
      </c>
      <c r="K236" s="0" t="n">
        <v>3</v>
      </c>
      <c r="L236" s="20" t="n">
        <v>2129.58</v>
      </c>
      <c r="M236" s="20" t="n">
        <v>1640.85</v>
      </c>
      <c r="N236" s="20" t="n">
        <v>6388.74</v>
      </c>
      <c r="O236" s="20" t="n">
        <v>4922.55</v>
      </c>
      <c r="P236" s="20" t="n">
        <v>1466.19</v>
      </c>
      <c r="Q236" s="21" t="n">
        <v>0.2295</v>
      </c>
      <c r="R236" s="19" t="s">
        <v>1147</v>
      </c>
    </row>
    <row r="237" customFormat="false" ht="15" hidden="false" customHeight="false" outlineLevel="0" collapsed="false">
      <c r="A237" s="0" t="n">
        <v>236</v>
      </c>
      <c r="B237" s="18" t="n">
        <v>45355</v>
      </c>
      <c r="C237" s="0" t="n">
        <v>2024</v>
      </c>
      <c r="D237" s="0" t="n">
        <v>3</v>
      </c>
      <c r="E237" s="19" t="s">
        <v>782</v>
      </c>
      <c r="F237" s="19" t="s">
        <v>698</v>
      </c>
      <c r="G237" s="19" t="s">
        <v>252</v>
      </c>
      <c r="H237" s="19" t="s">
        <v>362</v>
      </c>
      <c r="I237" s="19" t="s">
        <v>35</v>
      </c>
      <c r="J237" s="19" t="s">
        <v>377</v>
      </c>
      <c r="K237" s="0" t="n">
        <v>1</v>
      </c>
      <c r="L237" s="20" t="n">
        <v>141.33</v>
      </c>
      <c r="M237" s="20" t="n">
        <v>85.08</v>
      </c>
      <c r="N237" s="20" t="n">
        <v>141.33</v>
      </c>
      <c r="O237" s="20" t="n">
        <v>85.08</v>
      </c>
      <c r="P237" s="20" t="n">
        <v>56.25</v>
      </c>
      <c r="Q237" s="21" t="n">
        <v>0.398</v>
      </c>
      <c r="R237" s="19" t="s">
        <v>1145</v>
      </c>
    </row>
    <row r="238" customFormat="false" ht="15" hidden="false" customHeight="false" outlineLevel="0" collapsed="false">
      <c r="A238" s="0" t="n">
        <v>237</v>
      </c>
      <c r="B238" s="18" t="n">
        <v>45356</v>
      </c>
      <c r="C238" s="0" t="n">
        <v>2024</v>
      </c>
      <c r="D238" s="0" t="n">
        <v>3</v>
      </c>
      <c r="E238" s="19" t="s">
        <v>782</v>
      </c>
      <c r="F238" s="19" t="s">
        <v>853</v>
      </c>
      <c r="G238" s="19" t="s">
        <v>298</v>
      </c>
      <c r="H238" s="19" t="s">
        <v>362</v>
      </c>
      <c r="I238" s="19" t="s">
        <v>35</v>
      </c>
      <c r="J238" s="19" t="s">
        <v>377</v>
      </c>
      <c r="K238" s="0" t="n">
        <v>1</v>
      </c>
      <c r="L238" s="20" t="n">
        <v>2332.19</v>
      </c>
      <c r="M238" s="20" t="n">
        <v>1664.12</v>
      </c>
      <c r="N238" s="20" t="n">
        <v>2332.19</v>
      </c>
      <c r="O238" s="20" t="n">
        <v>1664.12</v>
      </c>
      <c r="P238" s="20" t="n">
        <v>668.07</v>
      </c>
      <c r="Q238" s="21" t="n">
        <v>0.2865</v>
      </c>
      <c r="R238" s="19" t="s">
        <v>1149</v>
      </c>
    </row>
    <row r="239" customFormat="false" ht="15" hidden="false" customHeight="false" outlineLevel="0" collapsed="false">
      <c r="A239" s="0" t="n">
        <v>238</v>
      </c>
      <c r="B239" s="18" t="n">
        <v>45357</v>
      </c>
      <c r="C239" s="0" t="n">
        <v>2024</v>
      </c>
      <c r="D239" s="0" t="n">
        <v>3</v>
      </c>
      <c r="E239" s="19" t="s">
        <v>937</v>
      </c>
      <c r="F239" s="19" t="s">
        <v>698</v>
      </c>
      <c r="G239" s="19" t="s">
        <v>173</v>
      </c>
      <c r="H239" s="19" t="s">
        <v>333</v>
      </c>
      <c r="I239" s="19" t="s">
        <v>35</v>
      </c>
      <c r="J239" s="19" t="s">
        <v>716</v>
      </c>
      <c r="K239" s="0" t="n">
        <v>1</v>
      </c>
      <c r="L239" s="20" t="n">
        <v>31.16</v>
      </c>
      <c r="M239" s="20" t="n">
        <v>17.92</v>
      </c>
      <c r="N239" s="20" t="n">
        <v>31.16</v>
      </c>
      <c r="O239" s="20" t="n">
        <v>17.92</v>
      </c>
      <c r="P239" s="20" t="n">
        <v>13.24</v>
      </c>
      <c r="Q239" s="21" t="n">
        <v>0.4249</v>
      </c>
      <c r="R239" s="19" t="s">
        <v>1145</v>
      </c>
    </row>
    <row r="240" customFormat="false" ht="15" hidden="false" customHeight="false" outlineLevel="0" collapsed="false">
      <c r="A240" s="0" t="n">
        <v>239</v>
      </c>
      <c r="B240" s="18" t="n">
        <v>45358</v>
      </c>
      <c r="C240" s="0" t="n">
        <v>2024</v>
      </c>
      <c r="D240" s="0" t="n">
        <v>3</v>
      </c>
      <c r="E240" s="19" t="s">
        <v>782</v>
      </c>
      <c r="F240" s="19" t="s">
        <v>588</v>
      </c>
      <c r="G240" s="19" t="s">
        <v>1151</v>
      </c>
      <c r="H240" s="19" t="s">
        <v>333</v>
      </c>
      <c r="I240" s="19" t="s">
        <v>35</v>
      </c>
      <c r="J240" s="19" t="s">
        <v>1161</v>
      </c>
      <c r="K240" s="0" t="n">
        <v>1</v>
      </c>
      <c r="L240" s="20" t="n">
        <v>431.1</v>
      </c>
      <c r="M240" s="20" t="n">
        <v>322</v>
      </c>
      <c r="N240" s="20" t="n">
        <v>431.1</v>
      </c>
      <c r="O240" s="20" t="n">
        <v>322</v>
      </c>
      <c r="P240" s="20" t="n">
        <v>109.1</v>
      </c>
      <c r="Q240" s="21" t="n">
        <v>0.2531</v>
      </c>
      <c r="R240" s="19" t="s">
        <v>1145</v>
      </c>
    </row>
    <row r="241" customFormat="false" ht="15" hidden="false" customHeight="false" outlineLevel="0" collapsed="false">
      <c r="A241" s="0" t="n">
        <v>240</v>
      </c>
      <c r="B241" s="18" t="n">
        <v>45358</v>
      </c>
      <c r="C241" s="0" t="n">
        <v>2024</v>
      </c>
      <c r="D241" s="0" t="n">
        <v>3</v>
      </c>
      <c r="E241" s="19" t="s">
        <v>685</v>
      </c>
      <c r="F241" s="19" t="s">
        <v>958</v>
      </c>
      <c r="G241" s="19" t="s">
        <v>881</v>
      </c>
      <c r="H241" s="19" t="s">
        <v>362</v>
      </c>
      <c r="I241" s="19" t="s">
        <v>54</v>
      </c>
      <c r="J241" s="19" t="s">
        <v>1160</v>
      </c>
      <c r="K241" s="0" t="n">
        <v>1</v>
      </c>
      <c r="L241" s="20" t="n">
        <v>3226.86</v>
      </c>
      <c r="M241" s="20" t="n">
        <v>2269.1</v>
      </c>
      <c r="N241" s="20" t="n">
        <v>3226.86</v>
      </c>
      <c r="O241" s="20" t="n">
        <v>2269.1</v>
      </c>
      <c r="P241" s="20" t="n">
        <v>957.76</v>
      </c>
      <c r="Q241" s="21" t="n">
        <v>0.2968</v>
      </c>
      <c r="R241" s="19" t="s">
        <v>1147</v>
      </c>
    </row>
    <row r="242" customFormat="false" ht="15" hidden="false" customHeight="false" outlineLevel="0" collapsed="false">
      <c r="A242" s="0" t="n">
        <v>241</v>
      </c>
      <c r="B242" s="18" t="n">
        <v>45360</v>
      </c>
      <c r="C242" s="0" t="n">
        <v>2024</v>
      </c>
      <c r="D242" s="0" t="n">
        <v>3</v>
      </c>
      <c r="E242" s="19" t="s">
        <v>782</v>
      </c>
      <c r="F242" s="19" t="s">
        <v>588</v>
      </c>
      <c r="G242" s="19" t="s">
        <v>1159</v>
      </c>
      <c r="H242" s="19" t="s">
        <v>362</v>
      </c>
      <c r="I242" s="19" t="s">
        <v>35</v>
      </c>
      <c r="J242" s="19" t="s">
        <v>1155</v>
      </c>
      <c r="K242" s="0" t="n">
        <v>1</v>
      </c>
      <c r="L242" s="20" t="n">
        <v>158.88</v>
      </c>
      <c r="M242" s="20" t="n">
        <v>90.18</v>
      </c>
      <c r="N242" s="20" t="n">
        <v>158.88</v>
      </c>
      <c r="O242" s="20" t="n">
        <v>90.18</v>
      </c>
      <c r="P242" s="20" t="n">
        <v>68.7</v>
      </c>
      <c r="Q242" s="21" t="n">
        <v>0.4324</v>
      </c>
      <c r="R242" s="19" t="s">
        <v>1145</v>
      </c>
    </row>
    <row r="243" customFormat="false" ht="15" hidden="false" customHeight="false" outlineLevel="0" collapsed="false">
      <c r="A243" s="0" t="n">
        <v>242</v>
      </c>
      <c r="B243" s="18" t="n">
        <v>45360</v>
      </c>
      <c r="C243" s="0" t="n">
        <v>2024</v>
      </c>
      <c r="D243" s="0" t="n">
        <v>3</v>
      </c>
      <c r="E243" s="19" t="s">
        <v>268</v>
      </c>
      <c r="F243" s="19" t="s">
        <v>958</v>
      </c>
      <c r="G243" s="19" t="s">
        <v>862</v>
      </c>
      <c r="H243" s="19" t="s">
        <v>362</v>
      </c>
      <c r="I243" s="19" t="s">
        <v>35</v>
      </c>
      <c r="J243" s="19" t="s">
        <v>377</v>
      </c>
      <c r="K243" s="0" t="n">
        <v>1</v>
      </c>
      <c r="L243" s="20" t="n">
        <v>4116.1</v>
      </c>
      <c r="M243" s="20" t="n">
        <v>2786.67</v>
      </c>
      <c r="N243" s="20" t="n">
        <v>4116.1</v>
      </c>
      <c r="O243" s="20" t="n">
        <v>2786.67</v>
      </c>
      <c r="P243" s="20" t="n">
        <v>1329.43</v>
      </c>
      <c r="Q243" s="21" t="n">
        <v>0.323</v>
      </c>
      <c r="R243" s="19" t="s">
        <v>1147</v>
      </c>
    </row>
    <row r="244" customFormat="false" ht="15" hidden="false" customHeight="false" outlineLevel="0" collapsed="false">
      <c r="A244" s="0" t="n">
        <v>243</v>
      </c>
      <c r="B244" s="18" t="n">
        <v>45362</v>
      </c>
      <c r="C244" s="0" t="n">
        <v>2024</v>
      </c>
      <c r="D244" s="0" t="n">
        <v>3</v>
      </c>
      <c r="E244" s="19" t="s">
        <v>685</v>
      </c>
      <c r="F244" s="19" t="s">
        <v>958</v>
      </c>
      <c r="G244" s="19" t="s">
        <v>902</v>
      </c>
      <c r="H244" s="19" t="s">
        <v>362</v>
      </c>
      <c r="I244" s="19" t="s">
        <v>35</v>
      </c>
      <c r="J244" s="19" t="s">
        <v>831</v>
      </c>
      <c r="K244" s="0" t="n">
        <v>2</v>
      </c>
      <c r="L244" s="20" t="n">
        <v>4130.49</v>
      </c>
      <c r="M244" s="20" t="n">
        <v>2461.58</v>
      </c>
      <c r="N244" s="20" t="n">
        <v>8260.98</v>
      </c>
      <c r="O244" s="20" t="n">
        <v>4923.16</v>
      </c>
      <c r="P244" s="20" t="n">
        <v>3337.82</v>
      </c>
      <c r="Q244" s="21" t="n">
        <v>0.404</v>
      </c>
      <c r="R244" s="19" t="s">
        <v>1147</v>
      </c>
    </row>
    <row r="245" customFormat="false" ht="15" hidden="false" customHeight="false" outlineLevel="0" collapsed="false">
      <c r="A245" s="0" t="n">
        <v>244</v>
      </c>
      <c r="B245" s="18" t="n">
        <v>45364</v>
      </c>
      <c r="C245" s="0" t="n">
        <v>2024</v>
      </c>
      <c r="D245" s="0" t="n">
        <v>3</v>
      </c>
      <c r="E245" s="19" t="s">
        <v>937</v>
      </c>
      <c r="F245" s="19" t="s">
        <v>698</v>
      </c>
      <c r="G245" s="19" t="s">
        <v>1163</v>
      </c>
      <c r="H245" s="19" t="s">
        <v>362</v>
      </c>
      <c r="I245" s="19" t="s">
        <v>35</v>
      </c>
      <c r="J245" s="19" t="s">
        <v>586</v>
      </c>
      <c r="K245" s="0" t="n">
        <v>1</v>
      </c>
      <c r="L245" s="20" t="n">
        <v>58.29</v>
      </c>
      <c r="M245" s="20" t="n">
        <v>36.61</v>
      </c>
      <c r="N245" s="20" t="n">
        <v>58.29</v>
      </c>
      <c r="O245" s="20" t="n">
        <v>36.61</v>
      </c>
      <c r="P245" s="20" t="n">
        <v>21.68</v>
      </c>
      <c r="Q245" s="21" t="n">
        <v>0.3719</v>
      </c>
      <c r="R245" s="19" t="s">
        <v>1145</v>
      </c>
    </row>
    <row r="246" customFormat="false" ht="15" hidden="false" customHeight="false" outlineLevel="0" collapsed="false">
      <c r="A246" s="0" t="n">
        <v>245</v>
      </c>
      <c r="B246" s="18" t="n">
        <v>45364</v>
      </c>
      <c r="C246" s="0" t="n">
        <v>2024</v>
      </c>
      <c r="D246" s="0" t="n">
        <v>3</v>
      </c>
      <c r="E246" s="19" t="s">
        <v>782</v>
      </c>
      <c r="F246" s="19" t="s">
        <v>588</v>
      </c>
      <c r="G246" s="19" t="s">
        <v>1151</v>
      </c>
      <c r="H246" s="19" t="s">
        <v>362</v>
      </c>
      <c r="I246" s="19" t="s">
        <v>35</v>
      </c>
      <c r="J246" s="19" t="s">
        <v>1158</v>
      </c>
      <c r="K246" s="0" t="n">
        <v>2</v>
      </c>
      <c r="L246" s="20" t="n">
        <v>479.33</v>
      </c>
      <c r="M246" s="20" t="n">
        <v>347.01</v>
      </c>
      <c r="N246" s="20" t="n">
        <v>958.66</v>
      </c>
      <c r="O246" s="20" t="n">
        <v>694.02</v>
      </c>
      <c r="P246" s="20" t="n">
        <v>264.64</v>
      </c>
      <c r="Q246" s="21" t="n">
        <v>0.2761</v>
      </c>
      <c r="R246" s="19" t="s">
        <v>1145</v>
      </c>
    </row>
    <row r="247" customFormat="false" ht="15" hidden="false" customHeight="false" outlineLevel="0" collapsed="false">
      <c r="A247" s="0" t="n">
        <v>246</v>
      </c>
      <c r="B247" s="18" t="n">
        <v>45367</v>
      </c>
      <c r="C247" s="0" t="n">
        <v>2024</v>
      </c>
      <c r="D247" s="0" t="n">
        <v>3</v>
      </c>
      <c r="E247" s="19" t="s">
        <v>937</v>
      </c>
      <c r="F247" s="19" t="s">
        <v>588</v>
      </c>
      <c r="G247" s="19" t="s">
        <v>1159</v>
      </c>
      <c r="H247" s="19" t="s">
        <v>362</v>
      </c>
      <c r="I247" s="19" t="s">
        <v>54</v>
      </c>
      <c r="J247" s="19" t="s">
        <v>831</v>
      </c>
      <c r="K247" s="0" t="n">
        <v>2</v>
      </c>
      <c r="L247" s="20" t="n">
        <v>565.55</v>
      </c>
      <c r="M247" s="20" t="n">
        <v>357.78</v>
      </c>
      <c r="N247" s="20" t="n">
        <v>1131.1</v>
      </c>
      <c r="O247" s="20" t="n">
        <v>715.56</v>
      </c>
      <c r="P247" s="20" t="n">
        <v>415.54</v>
      </c>
      <c r="Q247" s="21" t="n">
        <v>0.3674</v>
      </c>
      <c r="R247" s="19" t="s">
        <v>1149</v>
      </c>
    </row>
    <row r="248" customFormat="false" ht="15" hidden="false" customHeight="false" outlineLevel="0" collapsed="false">
      <c r="A248" s="0" t="n">
        <v>247</v>
      </c>
      <c r="B248" s="18" t="n">
        <v>45369</v>
      </c>
      <c r="C248" s="0" t="n">
        <v>2024</v>
      </c>
      <c r="D248" s="0" t="n">
        <v>3</v>
      </c>
      <c r="E248" s="19" t="s">
        <v>782</v>
      </c>
      <c r="F248" s="19" t="s">
        <v>960</v>
      </c>
      <c r="G248" s="19" t="s">
        <v>1002</v>
      </c>
      <c r="H248" s="19" t="s">
        <v>333</v>
      </c>
      <c r="I248" s="19" t="s">
        <v>35</v>
      </c>
      <c r="J248" s="19" t="s">
        <v>647</v>
      </c>
      <c r="K248" s="0" t="n">
        <v>1</v>
      </c>
      <c r="L248" s="20" t="n">
        <v>4507.76</v>
      </c>
      <c r="M248" s="20" t="n">
        <v>3383.45</v>
      </c>
      <c r="N248" s="20" t="n">
        <v>4507.76</v>
      </c>
      <c r="O248" s="20" t="n">
        <v>3383.45</v>
      </c>
      <c r="P248" s="20" t="n">
        <v>1124.31</v>
      </c>
      <c r="Q248" s="21" t="n">
        <v>0.2494</v>
      </c>
      <c r="R248" s="19" t="s">
        <v>1147</v>
      </c>
    </row>
    <row r="249" customFormat="false" ht="15" hidden="false" customHeight="false" outlineLevel="0" collapsed="false">
      <c r="A249" s="0" t="n">
        <v>248</v>
      </c>
      <c r="B249" s="18" t="n">
        <v>45375</v>
      </c>
      <c r="C249" s="0" t="n">
        <v>2024</v>
      </c>
      <c r="D249" s="0" t="n">
        <v>3</v>
      </c>
      <c r="E249" s="19" t="s">
        <v>782</v>
      </c>
      <c r="F249" s="19" t="s">
        <v>698</v>
      </c>
      <c r="G249" s="19" t="s">
        <v>774</v>
      </c>
      <c r="H249" s="19" t="s">
        <v>333</v>
      </c>
      <c r="I249" s="19" t="s">
        <v>35</v>
      </c>
      <c r="J249" s="19" t="s">
        <v>586</v>
      </c>
      <c r="K249" s="0" t="n">
        <v>2</v>
      </c>
      <c r="L249" s="20" t="n">
        <v>337</v>
      </c>
      <c r="M249" s="20" t="n">
        <v>235.03</v>
      </c>
      <c r="N249" s="20" t="n">
        <v>674</v>
      </c>
      <c r="O249" s="20" t="n">
        <v>470.06</v>
      </c>
      <c r="P249" s="20" t="n">
        <v>203.94</v>
      </c>
      <c r="Q249" s="21" t="n">
        <v>0.3026</v>
      </c>
      <c r="R249" s="19" t="s">
        <v>1145</v>
      </c>
    </row>
    <row r="250" customFormat="false" ht="15" hidden="false" customHeight="false" outlineLevel="0" collapsed="false">
      <c r="A250" s="0" t="n">
        <v>249</v>
      </c>
      <c r="B250" s="18" t="n">
        <v>45376</v>
      </c>
      <c r="C250" s="0" t="n">
        <v>2024</v>
      </c>
      <c r="D250" s="0" t="n">
        <v>3</v>
      </c>
      <c r="E250" s="19" t="s">
        <v>204</v>
      </c>
      <c r="F250" s="19" t="s">
        <v>960</v>
      </c>
      <c r="G250" s="19" t="s">
        <v>1162</v>
      </c>
      <c r="H250" s="19" t="s">
        <v>362</v>
      </c>
      <c r="I250" s="19" t="s">
        <v>35</v>
      </c>
      <c r="J250" s="19" t="s">
        <v>1048</v>
      </c>
      <c r="K250" s="0" t="n">
        <v>1</v>
      </c>
      <c r="L250" s="20" t="n">
        <v>6679.6</v>
      </c>
      <c r="M250" s="20" t="n">
        <v>3887.33</v>
      </c>
      <c r="N250" s="20" t="n">
        <v>6679.6</v>
      </c>
      <c r="O250" s="20" t="n">
        <v>3887.33</v>
      </c>
      <c r="P250" s="20" t="n">
        <v>2792.27</v>
      </c>
      <c r="Q250" s="21" t="n">
        <v>0.418</v>
      </c>
      <c r="R250" s="19" t="s">
        <v>1147</v>
      </c>
    </row>
    <row r="251" customFormat="false" ht="15" hidden="false" customHeight="false" outlineLevel="0" collapsed="false">
      <c r="A251" s="0" t="n">
        <v>250</v>
      </c>
      <c r="B251" s="18" t="n">
        <v>45384</v>
      </c>
      <c r="C251" s="0" t="n">
        <v>2024</v>
      </c>
      <c r="D251" s="0" t="n">
        <v>4</v>
      </c>
      <c r="E251" s="19" t="s">
        <v>204</v>
      </c>
      <c r="F251" s="19" t="s">
        <v>960</v>
      </c>
      <c r="G251" s="19" t="s">
        <v>1154</v>
      </c>
      <c r="H251" s="19" t="s">
        <v>362</v>
      </c>
      <c r="I251" s="19" t="s">
        <v>35</v>
      </c>
      <c r="J251" s="19" t="s">
        <v>1048</v>
      </c>
      <c r="K251" s="0" t="n">
        <v>1</v>
      </c>
      <c r="L251" s="20" t="n">
        <v>7859.29</v>
      </c>
      <c r="M251" s="20" t="n">
        <v>5500.59</v>
      </c>
      <c r="N251" s="20" t="n">
        <v>7859.29</v>
      </c>
      <c r="O251" s="20" t="n">
        <v>5500.59</v>
      </c>
      <c r="P251" s="20" t="n">
        <v>2358.7</v>
      </c>
      <c r="Q251" s="21" t="n">
        <v>0.3001</v>
      </c>
      <c r="R251" s="19" t="s">
        <v>1147</v>
      </c>
    </row>
    <row r="252" customFormat="false" ht="15" hidden="false" customHeight="false" outlineLevel="0" collapsed="false">
      <c r="A252" s="0" t="n">
        <v>251</v>
      </c>
      <c r="B252" s="18" t="n">
        <v>45387</v>
      </c>
      <c r="C252" s="0" t="n">
        <v>2024</v>
      </c>
      <c r="D252" s="0" t="n">
        <v>4</v>
      </c>
      <c r="E252" s="19" t="s">
        <v>204</v>
      </c>
      <c r="F252" s="19" t="s">
        <v>588</v>
      </c>
      <c r="G252" s="19" t="s">
        <v>1153</v>
      </c>
      <c r="H252" s="19" t="s">
        <v>333</v>
      </c>
      <c r="I252" s="19" t="s">
        <v>54</v>
      </c>
      <c r="J252" s="19" t="s">
        <v>1160</v>
      </c>
      <c r="K252" s="0" t="n">
        <v>1</v>
      </c>
      <c r="L252" s="20" t="n">
        <v>150.51</v>
      </c>
      <c r="M252" s="20" t="n">
        <v>88.85</v>
      </c>
      <c r="N252" s="20" t="n">
        <v>150.51</v>
      </c>
      <c r="O252" s="20" t="n">
        <v>88.85</v>
      </c>
      <c r="P252" s="20" t="n">
        <v>61.66</v>
      </c>
      <c r="Q252" s="21" t="n">
        <v>0.4097</v>
      </c>
      <c r="R252" s="19" t="s">
        <v>1145</v>
      </c>
    </row>
    <row r="253" customFormat="false" ht="15" hidden="false" customHeight="false" outlineLevel="0" collapsed="false">
      <c r="A253" s="0" t="n">
        <v>252</v>
      </c>
      <c r="B253" s="18" t="n">
        <v>45388</v>
      </c>
      <c r="C253" s="0" t="n">
        <v>2024</v>
      </c>
      <c r="D253" s="0" t="n">
        <v>4</v>
      </c>
      <c r="E253" s="19" t="s">
        <v>782</v>
      </c>
      <c r="F253" s="19" t="s">
        <v>853</v>
      </c>
      <c r="G253" s="19" t="s">
        <v>298</v>
      </c>
      <c r="H253" s="19" t="s">
        <v>362</v>
      </c>
      <c r="I253" s="19" t="s">
        <v>35</v>
      </c>
      <c r="J253" s="19" t="s">
        <v>1161</v>
      </c>
      <c r="K253" s="0" t="n">
        <v>1</v>
      </c>
      <c r="L253" s="20" t="n">
        <v>2859.64</v>
      </c>
      <c r="M253" s="20" t="n">
        <v>2171.03</v>
      </c>
      <c r="N253" s="20" t="n">
        <v>2859.64</v>
      </c>
      <c r="O253" s="20" t="n">
        <v>2171.03</v>
      </c>
      <c r="P253" s="20" t="n">
        <v>688.61</v>
      </c>
      <c r="Q253" s="21" t="n">
        <v>0.2408</v>
      </c>
      <c r="R253" s="19" t="s">
        <v>1149</v>
      </c>
    </row>
    <row r="254" customFormat="false" ht="15" hidden="false" customHeight="false" outlineLevel="0" collapsed="false">
      <c r="A254" s="0" t="n">
        <v>253</v>
      </c>
      <c r="B254" s="18" t="n">
        <v>45389</v>
      </c>
      <c r="C254" s="0" t="n">
        <v>2024</v>
      </c>
      <c r="D254" s="0" t="n">
        <v>4</v>
      </c>
      <c r="E254" s="19" t="s">
        <v>268</v>
      </c>
      <c r="F254" s="19" t="s">
        <v>588</v>
      </c>
      <c r="G254" s="19" t="s">
        <v>1159</v>
      </c>
      <c r="H254" s="19" t="s">
        <v>362</v>
      </c>
      <c r="I254" s="19" t="s">
        <v>35</v>
      </c>
      <c r="J254" s="19" t="s">
        <v>1054</v>
      </c>
      <c r="K254" s="0" t="n">
        <v>1</v>
      </c>
      <c r="L254" s="20" t="n">
        <v>458</v>
      </c>
      <c r="M254" s="20" t="n">
        <v>348.67</v>
      </c>
      <c r="N254" s="20" t="n">
        <v>458</v>
      </c>
      <c r="O254" s="20" t="n">
        <v>348.67</v>
      </c>
      <c r="P254" s="20" t="n">
        <v>109.33</v>
      </c>
      <c r="Q254" s="21" t="n">
        <v>0.2387</v>
      </c>
      <c r="R254" s="19" t="s">
        <v>1145</v>
      </c>
    </row>
    <row r="255" customFormat="false" ht="15" hidden="false" customHeight="false" outlineLevel="0" collapsed="false">
      <c r="A255" s="0" t="n">
        <v>254</v>
      </c>
      <c r="B255" s="18" t="n">
        <v>45389</v>
      </c>
      <c r="C255" s="0" t="n">
        <v>2024</v>
      </c>
      <c r="D255" s="0" t="n">
        <v>4</v>
      </c>
      <c r="E255" s="19" t="s">
        <v>685</v>
      </c>
      <c r="F255" s="19" t="s">
        <v>960</v>
      </c>
      <c r="G255" s="19" t="s">
        <v>217</v>
      </c>
      <c r="H255" s="19" t="s">
        <v>362</v>
      </c>
      <c r="I255" s="19" t="s">
        <v>35</v>
      </c>
      <c r="J255" s="19" t="s">
        <v>586</v>
      </c>
      <c r="K255" s="0" t="n">
        <v>1</v>
      </c>
      <c r="L255" s="20" t="n">
        <v>3940.43</v>
      </c>
      <c r="M255" s="20" t="n">
        <v>2519.02</v>
      </c>
      <c r="N255" s="20" t="n">
        <v>3940.43</v>
      </c>
      <c r="O255" s="20" t="n">
        <v>2519.02</v>
      </c>
      <c r="P255" s="20" t="n">
        <v>1421.41</v>
      </c>
      <c r="Q255" s="21" t="n">
        <v>0.3607</v>
      </c>
      <c r="R255" s="19" t="s">
        <v>1147</v>
      </c>
    </row>
    <row r="256" customFormat="false" ht="15" hidden="false" customHeight="false" outlineLevel="0" collapsed="false">
      <c r="A256" s="0" t="n">
        <v>255</v>
      </c>
      <c r="B256" s="18" t="n">
        <v>45390</v>
      </c>
      <c r="C256" s="0" t="n">
        <v>2024</v>
      </c>
      <c r="D256" s="0" t="n">
        <v>4</v>
      </c>
      <c r="E256" s="19" t="s">
        <v>268</v>
      </c>
      <c r="F256" s="19" t="s">
        <v>960</v>
      </c>
      <c r="G256" s="19" t="s">
        <v>217</v>
      </c>
      <c r="H256" s="19" t="s">
        <v>362</v>
      </c>
      <c r="I256" s="19" t="s">
        <v>35</v>
      </c>
      <c r="J256" s="19" t="s">
        <v>1161</v>
      </c>
      <c r="K256" s="0" t="n">
        <v>1</v>
      </c>
      <c r="L256" s="20" t="n">
        <v>6747.94</v>
      </c>
      <c r="M256" s="20" t="n">
        <v>5172.66</v>
      </c>
      <c r="N256" s="20" t="n">
        <v>6747.94</v>
      </c>
      <c r="O256" s="20" t="n">
        <v>5172.66</v>
      </c>
      <c r="P256" s="20" t="n">
        <v>1575.28</v>
      </c>
      <c r="Q256" s="21" t="n">
        <v>0.2334</v>
      </c>
      <c r="R256" s="19" t="s">
        <v>1147</v>
      </c>
    </row>
    <row r="257" customFormat="false" ht="15" hidden="false" customHeight="false" outlineLevel="0" collapsed="false">
      <c r="A257" s="0" t="n">
        <v>256</v>
      </c>
      <c r="B257" s="18" t="n">
        <v>45392</v>
      </c>
      <c r="C257" s="0" t="n">
        <v>2024</v>
      </c>
      <c r="D257" s="0" t="n">
        <v>4</v>
      </c>
      <c r="E257" s="19" t="s">
        <v>782</v>
      </c>
      <c r="F257" s="19" t="s">
        <v>698</v>
      </c>
      <c r="G257" s="19" t="s">
        <v>252</v>
      </c>
      <c r="H257" s="19" t="s">
        <v>362</v>
      </c>
      <c r="I257" s="19" t="s">
        <v>54</v>
      </c>
      <c r="J257" s="19" t="s">
        <v>1057</v>
      </c>
      <c r="K257" s="0" t="n">
        <v>1</v>
      </c>
      <c r="L257" s="20" t="n">
        <v>313.48</v>
      </c>
      <c r="M257" s="20" t="n">
        <v>196.21</v>
      </c>
      <c r="N257" s="20" t="n">
        <v>313.48</v>
      </c>
      <c r="O257" s="20" t="n">
        <v>196.21</v>
      </c>
      <c r="P257" s="20" t="n">
        <v>117.27</v>
      </c>
      <c r="Q257" s="21" t="n">
        <v>0.3741</v>
      </c>
      <c r="R257" s="19" t="s">
        <v>1145</v>
      </c>
    </row>
    <row r="258" customFormat="false" ht="15" hidden="false" customHeight="false" outlineLevel="0" collapsed="false">
      <c r="A258" s="0" t="n">
        <v>257</v>
      </c>
      <c r="B258" s="18" t="n">
        <v>45393</v>
      </c>
      <c r="C258" s="0" t="n">
        <v>2024</v>
      </c>
      <c r="D258" s="0" t="n">
        <v>4</v>
      </c>
      <c r="E258" s="19" t="s">
        <v>937</v>
      </c>
      <c r="F258" s="19" t="s">
        <v>960</v>
      </c>
      <c r="G258" s="19" t="s">
        <v>217</v>
      </c>
      <c r="H258" s="19" t="s">
        <v>362</v>
      </c>
      <c r="I258" s="19" t="s">
        <v>35</v>
      </c>
      <c r="J258" s="19" t="s">
        <v>716</v>
      </c>
      <c r="K258" s="0" t="n">
        <v>1</v>
      </c>
      <c r="L258" s="20" t="n">
        <v>5409.72</v>
      </c>
      <c r="M258" s="20" t="n">
        <v>3176.75</v>
      </c>
      <c r="N258" s="20" t="n">
        <v>5409.72</v>
      </c>
      <c r="O258" s="20" t="n">
        <v>3176.75</v>
      </c>
      <c r="P258" s="20" t="n">
        <v>2232.97</v>
      </c>
      <c r="Q258" s="21" t="n">
        <v>0.4128</v>
      </c>
      <c r="R258" s="19" t="s">
        <v>1147</v>
      </c>
    </row>
    <row r="259" customFormat="false" ht="15" hidden="false" customHeight="false" outlineLevel="0" collapsed="false">
      <c r="A259" s="0" t="n">
        <v>258</v>
      </c>
      <c r="B259" s="18" t="n">
        <v>45396</v>
      </c>
      <c r="C259" s="0" t="n">
        <v>2024</v>
      </c>
      <c r="D259" s="0" t="n">
        <v>4</v>
      </c>
      <c r="E259" s="19" t="s">
        <v>782</v>
      </c>
      <c r="F259" s="19" t="s">
        <v>588</v>
      </c>
      <c r="G259" s="19" t="s">
        <v>1152</v>
      </c>
      <c r="H259" s="19" t="s">
        <v>333</v>
      </c>
      <c r="I259" s="19" t="s">
        <v>54</v>
      </c>
      <c r="J259" s="19" t="s">
        <v>180</v>
      </c>
      <c r="K259" s="0" t="n">
        <v>1</v>
      </c>
      <c r="L259" s="20" t="n">
        <v>103.2</v>
      </c>
      <c r="M259" s="20" t="n">
        <v>63.47</v>
      </c>
      <c r="N259" s="20" t="n">
        <v>103.2</v>
      </c>
      <c r="O259" s="20" t="n">
        <v>63.47</v>
      </c>
      <c r="P259" s="20" t="n">
        <v>39.73</v>
      </c>
      <c r="Q259" s="21" t="n">
        <v>0.385</v>
      </c>
      <c r="R259" s="19" t="s">
        <v>1145</v>
      </c>
    </row>
    <row r="260" customFormat="false" ht="15" hidden="false" customHeight="false" outlineLevel="0" collapsed="false">
      <c r="A260" s="0" t="n">
        <v>259</v>
      </c>
      <c r="B260" s="18" t="n">
        <v>45397</v>
      </c>
      <c r="C260" s="0" t="n">
        <v>2024</v>
      </c>
      <c r="D260" s="0" t="n">
        <v>4</v>
      </c>
      <c r="E260" s="19" t="s">
        <v>685</v>
      </c>
      <c r="F260" s="19" t="s">
        <v>960</v>
      </c>
      <c r="G260" s="19" t="s">
        <v>217</v>
      </c>
      <c r="H260" s="19" t="s">
        <v>333</v>
      </c>
      <c r="I260" s="19" t="s">
        <v>35</v>
      </c>
      <c r="J260" s="19" t="s">
        <v>741</v>
      </c>
      <c r="K260" s="0" t="n">
        <v>2</v>
      </c>
      <c r="L260" s="20" t="n">
        <v>2580.76</v>
      </c>
      <c r="M260" s="20" t="n">
        <v>1927.84</v>
      </c>
      <c r="N260" s="20" t="n">
        <v>5161.52</v>
      </c>
      <c r="O260" s="20" t="n">
        <v>3855.68</v>
      </c>
      <c r="P260" s="20" t="n">
        <v>1305.84</v>
      </c>
      <c r="Q260" s="21" t="n">
        <v>0.253</v>
      </c>
      <c r="R260" s="19" t="s">
        <v>1147</v>
      </c>
    </row>
    <row r="261" customFormat="false" ht="15" hidden="false" customHeight="false" outlineLevel="0" collapsed="false">
      <c r="A261" s="0" t="n">
        <v>260</v>
      </c>
      <c r="B261" s="18" t="n">
        <v>45401</v>
      </c>
      <c r="C261" s="0" t="n">
        <v>2024</v>
      </c>
      <c r="D261" s="0" t="n">
        <v>4</v>
      </c>
      <c r="E261" s="19" t="s">
        <v>782</v>
      </c>
      <c r="F261" s="19" t="s">
        <v>853</v>
      </c>
      <c r="G261" s="19" t="s">
        <v>365</v>
      </c>
      <c r="H261" s="19" t="s">
        <v>362</v>
      </c>
      <c r="I261" s="19" t="s">
        <v>54</v>
      </c>
      <c r="J261" s="19" t="s">
        <v>741</v>
      </c>
      <c r="K261" s="0" t="n">
        <v>2</v>
      </c>
      <c r="L261" s="20" t="n">
        <v>2895.48</v>
      </c>
      <c r="M261" s="20" t="n">
        <v>2253.31</v>
      </c>
      <c r="N261" s="20" t="n">
        <v>5790.96</v>
      </c>
      <c r="O261" s="20" t="n">
        <v>4506.62</v>
      </c>
      <c r="P261" s="20" t="n">
        <v>1284.34</v>
      </c>
      <c r="Q261" s="21" t="n">
        <v>0.2218</v>
      </c>
      <c r="R261" s="19" t="s">
        <v>1147</v>
      </c>
    </row>
    <row r="262" customFormat="false" ht="15" hidden="false" customHeight="false" outlineLevel="0" collapsed="false">
      <c r="A262" s="0" t="n">
        <v>261</v>
      </c>
      <c r="B262" s="18" t="n">
        <v>45401</v>
      </c>
      <c r="C262" s="0" t="n">
        <v>2024</v>
      </c>
      <c r="D262" s="0" t="n">
        <v>4</v>
      </c>
      <c r="E262" s="19" t="s">
        <v>937</v>
      </c>
      <c r="F262" s="19" t="s">
        <v>698</v>
      </c>
      <c r="G262" s="19" t="s">
        <v>774</v>
      </c>
      <c r="H262" s="19" t="s">
        <v>362</v>
      </c>
      <c r="I262" s="19" t="s">
        <v>35</v>
      </c>
      <c r="J262" s="19" t="s">
        <v>180</v>
      </c>
      <c r="K262" s="0" t="n">
        <v>2</v>
      </c>
      <c r="L262" s="20" t="n">
        <v>329.48</v>
      </c>
      <c r="M262" s="20" t="n">
        <v>190.12</v>
      </c>
      <c r="N262" s="20" t="n">
        <v>658.96</v>
      </c>
      <c r="O262" s="20" t="n">
        <v>380.24</v>
      </c>
      <c r="P262" s="20" t="n">
        <v>278.72</v>
      </c>
      <c r="Q262" s="21" t="n">
        <v>0.423</v>
      </c>
      <c r="R262" s="19" t="s">
        <v>1145</v>
      </c>
    </row>
    <row r="263" customFormat="false" ht="15" hidden="false" customHeight="false" outlineLevel="0" collapsed="false">
      <c r="A263" s="0" t="n">
        <v>262</v>
      </c>
      <c r="B263" s="18" t="n">
        <v>45402</v>
      </c>
      <c r="C263" s="0" t="n">
        <v>2024</v>
      </c>
      <c r="D263" s="0" t="n">
        <v>4</v>
      </c>
      <c r="E263" s="19" t="s">
        <v>782</v>
      </c>
      <c r="F263" s="19" t="s">
        <v>958</v>
      </c>
      <c r="G263" s="19" t="s">
        <v>881</v>
      </c>
      <c r="H263" s="19" t="s">
        <v>333</v>
      </c>
      <c r="I263" s="19" t="s">
        <v>35</v>
      </c>
      <c r="J263" s="19" t="s">
        <v>586</v>
      </c>
      <c r="K263" s="0" t="n">
        <v>1</v>
      </c>
      <c r="L263" s="20" t="n">
        <v>3725.56</v>
      </c>
      <c r="M263" s="20" t="n">
        <v>2820.49</v>
      </c>
      <c r="N263" s="20" t="n">
        <v>3725.56</v>
      </c>
      <c r="O263" s="20" t="n">
        <v>2820.49</v>
      </c>
      <c r="P263" s="20" t="n">
        <v>905.07</v>
      </c>
      <c r="Q263" s="21" t="n">
        <v>0.2429</v>
      </c>
      <c r="R263" s="19" t="s">
        <v>1147</v>
      </c>
    </row>
    <row r="264" customFormat="false" ht="15" hidden="false" customHeight="false" outlineLevel="0" collapsed="false">
      <c r="A264" s="0" t="n">
        <v>263</v>
      </c>
      <c r="B264" s="18" t="n">
        <v>45403</v>
      </c>
      <c r="C264" s="0" t="n">
        <v>2024</v>
      </c>
      <c r="D264" s="0" t="n">
        <v>4</v>
      </c>
      <c r="E264" s="19" t="s">
        <v>268</v>
      </c>
      <c r="F264" s="19" t="s">
        <v>960</v>
      </c>
      <c r="G264" s="19" t="s">
        <v>1154</v>
      </c>
      <c r="H264" s="19" t="s">
        <v>333</v>
      </c>
      <c r="I264" s="19" t="s">
        <v>54</v>
      </c>
      <c r="J264" s="19" t="s">
        <v>741</v>
      </c>
      <c r="K264" s="0" t="n">
        <v>1</v>
      </c>
      <c r="L264" s="20" t="n">
        <v>5108.33</v>
      </c>
      <c r="M264" s="20" t="n">
        <v>3178.69</v>
      </c>
      <c r="N264" s="20" t="n">
        <v>5108.33</v>
      </c>
      <c r="O264" s="20" t="n">
        <v>3178.69</v>
      </c>
      <c r="P264" s="20" t="n">
        <v>1929.64</v>
      </c>
      <c r="Q264" s="21" t="n">
        <v>0.3777</v>
      </c>
      <c r="R264" s="19" t="s">
        <v>1147</v>
      </c>
    </row>
    <row r="265" customFormat="false" ht="15" hidden="false" customHeight="false" outlineLevel="0" collapsed="false">
      <c r="A265" s="0" t="n">
        <v>264</v>
      </c>
      <c r="B265" s="18" t="n">
        <v>45407</v>
      </c>
      <c r="C265" s="0" t="n">
        <v>2024</v>
      </c>
      <c r="D265" s="0" t="n">
        <v>4</v>
      </c>
      <c r="E265" s="19" t="s">
        <v>204</v>
      </c>
      <c r="F265" s="19" t="s">
        <v>958</v>
      </c>
      <c r="G265" s="19" t="s">
        <v>881</v>
      </c>
      <c r="H265" s="19" t="s">
        <v>333</v>
      </c>
      <c r="I265" s="19" t="s">
        <v>35</v>
      </c>
      <c r="J265" s="19" t="s">
        <v>758</v>
      </c>
      <c r="K265" s="0" t="n">
        <v>1</v>
      </c>
      <c r="L265" s="20" t="n">
        <v>2410.07</v>
      </c>
      <c r="M265" s="20" t="n">
        <v>1616.37</v>
      </c>
      <c r="N265" s="20" t="n">
        <v>2410.07</v>
      </c>
      <c r="O265" s="20" t="n">
        <v>1616.37</v>
      </c>
      <c r="P265" s="20" t="n">
        <v>793.7</v>
      </c>
      <c r="Q265" s="21" t="n">
        <v>0.3293</v>
      </c>
      <c r="R265" s="19" t="s">
        <v>1149</v>
      </c>
    </row>
    <row r="266" customFormat="false" ht="15" hidden="false" customHeight="false" outlineLevel="0" collapsed="false">
      <c r="A266" s="0" t="n">
        <v>265</v>
      </c>
      <c r="B266" s="18" t="n">
        <v>45408</v>
      </c>
      <c r="C266" s="0" t="n">
        <v>2024</v>
      </c>
      <c r="D266" s="0" t="n">
        <v>4</v>
      </c>
      <c r="E266" s="19" t="s">
        <v>204</v>
      </c>
      <c r="F266" s="19" t="s">
        <v>588</v>
      </c>
      <c r="G266" s="19" t="s">
        <v>1153</v>
      </c>
      <c r="H266" s="19" t="s">
        <v>362</v>
      </c>
      <c r="I266" s="19" t="s">
        <v>35</v>
      </c>
      <c r="J266" s="19" t="s">
        <v>716</v>
      </c>
      <c r="K266" s="0" t="n">
        <v>1</v>
      </c>
      <c r="L266" s="20" t="n">
        <v>798.88</v>
      </c>
      <c r="M266" s="20" t="n">
        <v>576.23</v>
      </c>
      <c r="N266" s="20" t="n">
        <v>798.88</v>
      </c>
      <c r="O266" s="20" t="n">
        <v>576.23</v>
      </c>
      <c r="P266" s="20" t="n">
        <v>222.65</v>
      </c>
      <c r="Q266" s="21" t="n">
        <v>0.2787</v>
      </c>
      <c r="R266" s="19" t="s">
        <v>1145</v>
      </c>
    </row>
    <row r="267" customFormat="false" ht="15" hidden="false" customHeight="false" outlineLevel="0" collapsed="false">
      <c r="A267" s="0" t="n">
        <v>266</v>
      </c>
      <c r="B267" s="18" t="n">
        <v>45410</v>
      </c>
      <c r="C267" s="0" t="n">
        <v>2024</v>
      </c>
      <c r="D267" s="0" t="n">
        <v>4</v>
      </c>
      <c r="E267" s="19" t="s">
        <v>204</v>
      </c>
      <c r="F267" s="19" t="s">
        <v>958</v>
      </c>
      <c r="G267" s="19" t="s">
        <v>572</v>
      </c>
      <c r="H267" s="19" t="s">
        <v>362</v>
      </c>
      <c r="I267" s="19" t="s">
        <v>35</v>
      </c>
      <c r="J267" s="19" t="s">
        <v>1057</v>
      </c>
      <c r="K267" s="0" t="n">
        <v>1</v>
      </c>
      <c r="L267" s="20" t="n">
        <v>2053.24</v>
      </c>
      <c r="M267" s="20" t="n">
        <v>1185.33</v>
      </c>
      <c r="N267" s="20" t="n">
        <v>2053.24</v>
      </c>
      <c r="O267" s="20" t="n">
        <v>1185.33</v>
      </c>
      <c r="P267" s="20" t="n">
        <v>867.91</v>
      </c>
      <c r="Q267" s="21" t="n">
        <v>0.4227</v>
      </c>
      <c r="R267" s="19" t="s">
        <v>1149</v>
      </c>
    </row>
    <row r="268" customFormat="false" ht="15" hidden="false" customHeight="false" outlineLevel="0" collapsed="false">
      <c r="A268" s="0" t="n">
        <v>267</v>
      </c>
      <c r="B268" s="18" t="n">
        <v>45410</v>
      </c>
      <c r="C268" s="0" t="n">
        <v>2024</v>
      </c>
      <c r="D268" s="0" t="n">
        <v>4</v>
      </c>
      <c r="E268" s="19" t="s">
        <v>782</v>
      </c>
      <c r="F268" s="19" t="s">
        <v>588</v>
      </c>
      <c r="G268" s="19" t="s">
        <v>1153</v>
      </c>
      <c r="H268" s="19" t="s">
        <v>333</v>
      </c>
      <c r="I268" s="19" t="s">
        <v>35</v>
      </c>
      <c r="J268" s="19" t="s">
        <v>180</v>
      </c>
      <c r="K268" s="0" t="n">
        <v>1</v>
      </c>
      <c r="L268" s="20" t="n">
        <v>776.01</v>
      </c>
      <c r="M268" s="20" t="n">
        <v>535.07</v>
      </c>
      <c r="N268" s="20" t="n">
        <v>776.01</v>
      </c>
      <c r="O268" s="20" t="n">
        <v>535.07</v>
      </c>
      <c r="P268" s="20" t="n">
        <v>240.94</v>
      </c>
      <c r="Q268" s="21" t="n">
        <v>0.3105</v>
      </c>
      <c r="R268" s="19" t="s">
        <v>1145</v>
      </c>
    </row>
    <row r="269" customFormat="false" ht="15" hidden="false" customHeight="false" outlineLevel="0" collapsed="false">
      <c r="A269" s="0" t="n">
        <v>268</v>
      </c>
      <c r="B269" s="18" t="n">
        <v>45410</v>
      </c>
      <c r="C269" s="0" t="n">
        <v>2024</v>
      </c>
      <c r="D269" s="0" t="n">
        <v>4</v>
      </c>
      <c r="E269" s="19" t="s">
        <v>782</v>
      </c>
      <c r="F269" s="19" t="s">
        <v>960</v>
      </c>
      <c r="G269" s="19" t="s">
        <v>1002</v>
      </c>
      <c r="H269" s="19" t="s">
        <v>362</v>
      </c>
      <c r="I269" s="19" t="s">
        <v>35</v>
      </c>
      <c r="J269" s="19" t="s">
        <v>716</v>
      </c>
      <c r="K269" s="0" t="n">
        <v>1</v>
      </c>
      <c r="L269" s="20" t="n">
        <v>4920.28</v>
      </c>
      <c r="M269" s="20" t="n">
        <v>3273.28</v>
      </c>
      <c r="N269" s="20" t="n">
        <v>4920.28</v>
      </c>
      <c r="O269" s="20" t="n">
        <v>3273.28</v>
      </c>
      <c r="P269" s="20" t="n">
        <v>1647</v>
      </c>
      <c r="Q269" s="21" t="n">
        <v>0.3347</v>
      </c>
      <c r="R269" s="19" t="s">
        <v>1147</v>
      </c>
    </row>
    <row r="270" customFormat="false" ht="15" hidden="false" customHeight="false" outlineLevel="0" collapsed="false">
      <c r="A270" s="0" t="n">
        <v>269</v>
      </c>
      <c r="B270" s="18" t="n">
        <v>45411</v>
      </c>
      <c r="C270" s="0" t="n">
        <v>2024</v>
      </c>
      <c r="D270" s="0" t="n">
        <v>4</v>
      </c>
      <c r="E270" s="19" t="s">
        <v>204</v>
      </c>
      <c r="F270" s="19" t="s">
        <v>698</v>
      </c>
      <c r="G270" s="19" t="s">
        <v>1163</v>
      </c>
      <c r="H270" s="19" t="s">
        <v>333</v>
      </c>
      <c r="I270" s="19" t="s">
        <v>35</v>
      </c>
      <c r="J270" s="19" t="s">
        <v>807</v>
      </c>
      <c r="K270" s="0" t="n">
        <v>1</v>
      </c>
      <c r="L270" s="20" t="n">
        <v>111.63</v>
      </c>
      <c r="M270" s="20" t="n">
        <v>72.96</v>
      </c>
      <c r="N270" s="20" t="n">
        <v>111.63</v>
      </c>
      <c r="O270" s="20" t="n">
        <v>72.96</v>
      </c>
      <c r="P270" s="20" t="n">
        <v>38.67</v>
      </c>
      <c r="Q270" s="21" t="n">
        <v>0.3464</v>
      </c>
      <c r="R270" s="19" t="s">
        <v>1145</v>
      </c>
    </row>
    <row r="271" customFormat="false" ht="15" hidden="false" customHeight="false" outlineLevel="0" collapsed="false">
      <c r="A271" s="0" t="n">
        <v>270</v>
      </c>
      <c r="B271" s="18" t="n">
        <v>45412</v>
      </c>
      <c r="C271" s="0" t="n">
        <v>2024</v>
      </c>
      <c r="D271" s="0" t="n">
        <v>4</v>
      </c>
      <c r="E271" s="19" t="s">
        <v>268</v>
      </c>
      <c r="F271" s="19" t="s">
        <v>698</v>
      </c>
      <c r="G271" s="19" t="s">
        <v>1157</v>
      </c>
      <c r="H271" s="19" t="s">
        <v>333</v>
      </c>
      <c r="I271" s="19" t="s">
        <v>35</v>
      </c>
      <c r="J271" s="19" t="s">
        <v>758</v>
      </c>
      <c r="K271" s="0" t="n">
        <v>1</v>
      </c>
      <c r="L271" s="20" t="n">
        <v>213.7</v>
      </c>
      <c r="M271" s="20" t="n">
        <v>120.52</v>
      </c>
      <c r="N271" s="20" t="n">
        <v>213.7</v>
      </c>
      <c r="O271" s="20" t="n">
        <v>120.52</v>
      </c>
      <c r="P271" s="20" t="n">
        <v>93.18</v>
      </c>
      <c r="Q271" s="21" t="n">
        <v>0.436</v>
      </c>
      <c r="R271" s="19" t="s">
        <v>1145</v>
      </c>
    </row>
    <row r="272" customFormat="false" ht="15" hidden="false" customHeight="false" outlineLevel="0" collapsed="false">
      <c r="A272" s="0" t="n">
        <v>271</v>
      </c>
      <c r="B272" s="18" t="n">
        <v>45412</v>
      </c>
      <c r="C272" s="0" t="n">
        <v>2024</v>
      </c>
      <c r="D272" s="0" t="n">
        <v>4</v>
      </c>
      <c r="E272" s="19" t="s">
        <v>204</v>
      </c>
      <c r="F272" s="19" t="s">
        <v>958</v>
      </c>
      <c r="G272" s="19" t="s">
        <v>902</v>
      </c>
      <c r="H272" s="19" t="s">
        <v>333</v>
      </c>
      <c r="I272" s="19" t="s">
        <v>35</v>
      </c>
      <c r="J272" s="19" t="s">
        <v>613</v>
      </c>
      <c r="K272" s="0" t="n">
        <v>1</v>
      </c>
      <c r="L272" s="20" t="n">
        <v>2503.52</v>
      </c>
      <c r="M272" s="20" t="n">
        <v>1462.95</v>
      </c>
      <c r="N272" s="20" t="n">
        <v>2503.52</v>
      </c>
      <c r="O272" s="20" t="n">
        <v>1462.95</v>
      </c>
      <c r="P272" s="20" t="n">
        <v>1040.57</v>
      </c>
      <c r="Q272" s="21" t="n">
        <v>0.4156</v>
      </c>
      <c r="R272" s="19" t="s">
        <v>1149</v>
      </c>
    </row>
    <row r="273" customFormat="false" ht="15" hidden="false" customHeight="false" outlineLevel="0" collapsed="false">
      <c r="A273" s="0" t="n">
        <v>272</v>
      </c>
      <c r="B273" s="18" t="n">
        <v>45414</v>
      </c>
      <c r="C273" s="0" t="n">
        <v>2024</v>
      </c>
      <c r="D273" s="0" t="n">
        <v>5</v>
      </c>
      <c r="E273" s="19" t="s">
        <v>782</v>
      </c>
      <c r="F273" s="19" t="s">
        <v>853</v>
      </c>
      <c r="G273" s="19" t="s">
        <v>298</v>
      </c>
      <c r="H273" s="19" t="s">
        <v>362</v>
      </c>
      <c r="I273" s="19" t="s">
        <v>35</v>
      </c>
      <c r="J273" s="19" t="s">
        <v>647</v>
      </c>
      <c r="K273" s="0" t="n">
        <v>1</v>
      </c>
      <c r="L273" s="20" t="n">
        <v>1003.9</v>
      </c>
      <c r="M273" s="20" t="n">
        <v>773.65</v>
      </c>
      <c r="N273" s="20" t="n">
        <v>1003.9</v>
      </c>
      <c r="O273" s="20" t="n">
        <v>773.65</v>
      </c>
      <c r="P273" s="20" t="n">
        <v>230.25</v>
      </c>
      <c r="Q273" s="21" t="n">
        <v>0.2294</v>
      </c>
      <c r="R273" s="19" t="s">
        <v>1149</v>
      </c>
    </row>
    <row r="274" customFormat="false" ht="15" hidden="false" customHeight="false" outlineLevel="0" collapsed="false">
      <c r="A274" s="0" t="n">
        <v>273</v>
      </c>
      <c r="B274" s="18" t="n">
        <v>45415</v>
      </c>
      <c r="C274" s="0" t="n">
        <v>2024</v>
      </c>
      <c r="D274" s="0" t="n">
        <v>5</v>
      </c>
      <c r="E274" s="19" t="s">
        <v>685</v>
      </c>
      <c r="F274" s="19" t="s">
        <v>958</v>
      </c>
      <c r="G274" s="19" t="s">
        <v>902</v>
      </c>
      <c r="H274" s="19" t="s">
        <v>333</v>
      </c>
      <c r="I274" s="19" t="s">
        <v>35</v>
      </c>
      <c r="J274" s="19" t="s">
        <v>260</v>
      </c>
      <c r="K274" s="0" t="n">
        <v>1</v>
      </c>
      <c r="L274" s="20" t="n">
        <v>1399.74</v>
      </c>
      <c r="M274" s="20" t="n">
        <v>836.51</v>
      </c>
      <c r="N274" s="20" t="n">
        <v>1399.74</v>
      </c>
      <c r="O274" s="20" t="n">
        <v>836.51</v>
      </c>
      <c r="P274" s="20" t="n">
        <v>563.23</v>
      </c>
      <c r="Q274" s="21" t="n">
        <v>0.4024</v>
      </c>
      <c r="R274" s="19" t="s">
        <v>1149</v>
      </c>
    </row>
    <row r="275" customFormat="false" ht="15" hidden="false" customHeight="false" outlineLevel="0" collapsed="false">
      <c r="A275" s="0" t="n">
        <v>274</v>
      </c>
      <c r="B275" s="18" t="n">
        <v>45416</v>
      </c>
      <c r="C275" s="0" t="n">
        <v>2024</v>
      </c>
      <c r="D275" s="0" t="n">
        <v>5</v>
      </c>
      <c r="E275" s="19" t="s">
        <v>685</v>
      </c>
      <c r="F275" s="19" t="s">
        <v>853</v>
      </c>
      <c r="G275" s="19" t="s">
        <v>365</v>
      </c>
      <c r="H275" s="19" t="s">
        <v>362</v>
      </c>
      <c r="I275" s="19" t="s">
        <v>35</v>
      </c>
      <c r="J275" s="19" t="s">
        <v>1158</v>
      </c>
      <c r="K275" s="0" t="n">
        <v>1</v>
      </c>
      <c r="L275" s="20" t="n">
        <v>2459.27</v>
      </c>
      <c r="M275" s="20" t="n">
        <v>1532.51</v>
      </c>
      <c r="N275" s="20" t="n">
        <v>2459.27</v>
      </c>
      <c r="O275" s="20" t="n">
        <v>1532.51</v>
      </c>
      <c r="P275" s="20" t="n">
        <v>926.76</v>
      </c>
      <c r="Q275" s="21" t="n">
        <v>0.3768</v>
      </c>
      <c r="R275" s="19" t="s">
        <v>1149</v>
      </c>
    </row>
    <row r="276" customFormat="false" ht="15" hidden="false" customHeight="false" outlineLevel="0" collapsed="false">
      <c r="A276" s="0" t="n">
        <v>275</v>
      </c>
      <c r="B276" s="18" t="n">
        <v>45417</v>
      </c>
      <c r="C276" s="0" t="n">
        <v>2024</v>
      </c>
      <c r="D276" s="0" t="n">
        <v>5</v>
      </c>
      <c r="E276" s="19" t="s">
        <v>204</v>
      </c>
      <c r="F276" s="19" t="s">
        <v>958</v>
      </c>
      <c r="G276" s="19" t="s">
        <v>902</v>
      </c>
      <c r="H276" s="19" t="s">
        <v>362</v>
      </c>
      <c r="I276" s="19" t="s">
        <v>35</v>
      </c>
      <c r="J276" s="19" t="s">
        <v>807</v>
      </c>
      <c r="K276" s="0" t="n">
        <v>1</v>
      </c>
      <c r="L276" s="20" t="n">
        <v>3783.59</v>
      </c>
      <c r="M276" s="20" t="n">
        <v>2508.2</v>
      </c>
      <c r="N276" s="20" t="n">
        <v>3783.59</v>
      </c>
      <c r="O276" s="20" t="n">
        <v>2508.2</v>
      </c>
      <c r="P276" s="20" t="n">
        <v>1275.39</v>
      </c>
      <c r="Q276" s="21" t="n">
        <v>0.3371</v>
      </c>
      <c r="R276" s="19" t="s">
        <v>1147</v>
      </c>
    </row>
    <row r="277" customFormat="false" ht="15" hidden="false" customHeight="false" outlineLevel="0" collapsed="false">
      <c r="A277" s="0" t="n">
        <v>276</v>
      </c>
      <c r="B277" s="18" t="n">
        <v>45421</v>
      </c>
      <c r="C277" s="0" t="n">
        <v>2024</v>
      </c>
      <c r="D277" s="0" t="n">
        <v>5</v>
      </c>
      <c r="E277" s="19" t="s">
        <v>268</v>
      </c>
      <c r="F277" s="19" t="s">
        <v>698</v>
      </c>
      <c r="G277" s="19" t="s">
        <v>774</v>
      </c>
      <c r="H277" s="19" t="s">
        <v>362</v>
      </c>
      <c r="I277" s="19" t="s">
        <v>35</v>
      </c>
      <c r="J277" s="19" t="s">
        <v>586</v>
      </c>
      <c r="K277" s="0" t="n">
        <v>1</v>
      </c>
      <c r="L277" s="20" t="n">
        <v>126.45</v>
      </c>
      <c r="M277" s="20" t="n">
        <v>82.65</v>
      </c>
      <c r="N277" s="20" t="n">
        <v>126.45</v>
      </c>
      <c r="O277" s="20" t="n">
        <v>82.65</v>
      </c>
      <c r="P277" s="20" t="n">
        <v>43.8</v>
      </c>
      <c r="Q277" s="21" t="n">
        <v>0.3464</v>
      </c>
      <c r="R277" s="19" t="s">
        <v>1145</v>
      </c>
    </row>
    <row r="278" customFormat="false" ht="15" hidden="false" customHeight="false" outlineLevel="0" collapsed="false">
      <c r="A278" s="0" t="n">
        <v>277</v>
      </c>
      <c r="B278" s="18" t="n">
        <v>45423</v>
      </c>
      <c r="C278" s="0" t="n">
        <v>2024</v>
      </c>
      <c r="D278" s="0" t="n">
        <v>5</v>
      </c>
      <c r="E278" s="19" t="s">
        <v>204</v>
      </c>
      <c r="F278" s="19" t="s">
        <v>853</v>
      </c>
      <c r="G278" s="19" t="s">
        <v>1148</v>
      </c>
      <c r="H278" s="19" t="s">
        <v>362</v>
      </c>
      <c r="I278" s="19" t="s">
        <v>54</v>
      </c>
      <c r="J278" s="19" t="s">
        <v>1161</v>
      </c>
      <c r="K278" s="0" t="n">
        <v>1</v>
      </c>
      <c r="L278" s="20" t="n">
        <v>1523.62</v>
      </c>
      <c r="M278" s="20" t="n">
        <v>907.2</v>
      </c>
      <c r="N278" s="20" t="n">
        <v>1523.62</v>
      </c>
      <c r="O278" s="20" t="n">
        <v>907.2</v>
      </c>
      <c r="P278" s="20" t="n">
        <v>616.42</v>
      </c>
      <c r="Q278" s="21" t="n">
        <v>0.4046</v>
      </c>
      <c r="R278" s="19" t="s">
        <v>1149</v>
      </c>
    </row>
    <row r="279" customFormat="false" ht="15" hidden="false" customHeight="false" outlineLevel="0" collapsed="false">
      <c r="A279" s="0" t="n">
        <v>278</v>
      </c>
      <c r="B279" s="18" t="n">
        <v>45425</v>
      </c>
      <c r="C279" s="0" t="n">
        <v>2024</v>
      </c>
      <c r="D279" s="0" t="n">
        <v>5</v>
      </c>
      <c r="E279" s="19" t="s">
        <v>685</v>
      </c>
      <c r="F279" s="19" t="s">
        <v>588</v>
      </c>
      <c r="G279" s="19" t="s">
        <v>1152</v>
      </c>
      <c r="H279" s="19" t="s">
        <v>362</v>
      </c>
      <c r="I279" s="19" t="s">
        <v>35</v>
      </c>
      <c r="J279" s="19" t="s">
        <v>758</v>
      </c>
      <c r="K279" s="0" t="n">
        <v>1</v>
      </c>
      <c r="L279" s="20" t="n">
        <v>779.28</v>
      </c>
      <c r="M279" s="20" t="n">
        <v>581.55</v>
      </c>
      <c r="N279" s="20" t="n">
        <v>779.28</v>
      </c>
      <c r="O279" s="20" t="n">
        <v>581.55</v>
      </c>
      <c r="P279" s="20" t="n">
        <v>197.73</v>
      </c>
      <c r="Q279" s="21" t="n">
        <v>0.2537</v>
      </c>
      <c r="R279" s="19" t="s">
        <v>1145</v>
      </c>
    </row>
    <row r="280" customFormat="false" ht="15" hidden="false" customHeight="false" outlineLevel="0" collapsed="false">
      <c r="A280" s="0" t="n">
        <v>279</v>
      </c>
      <c r="B280" s="18" t="n">
        <v>45425</v>
      </c>
      <c r="C280" s="0" t="n">
        <v>2024</v>
      </c>
      <c r="D280" s="0" t="n">
        <v>5</v>
      </c>
      <c r="E280" s="19" t="s">
        <v>204</v>
      </c>
      <c r="F280" s="19" t="s">
        <v>958</v>
      </c>
      <c r="G280" s="19" t="s">
        <v>902</v>
      </c>
      <c r="H280" s="19" t="s">
        <v>333</v>
      </c>
      <c r="I280" s="19" t="s">
        <v>35</v>
      </c>
      <c r="J280" s="19" t="s">
        <v>1160</v>
      </c>
      <c r="K280" s="0" t="n">
        <v>1</v>
      </c>
      <c r="L280" s="20" t="n">
        <v>3487.21</v>
      </c>
      <c r="M280" s="20" t="n">
        <v>2324.84</v>
      </c>
      <c r="N280" s="20" t="n">
        <v>3487.21</v>
      </c>
      <c r="O280" s="20" t="n">
        <v>2324.84</v>
      </c>
      <c r="P280" s="20" t="n">
        <v>1162.37</v>
      </c>
      <c r="Q280" s="21" t="n">
        <v>0.3333</v>
      </c>
      <c r="R280" s="19" t="s">
        <v>1147</v>
      </c>
    </row>
    <row r="281" customFormat="false" ht="15" hidden="false" customHeight="false" outlineLevel="0" collapsed="false">
      <c r="A281" s="0" t="n">
        <v>280</v>
      </c>
      <c r="B281" s="18" t="n">
        <v>45427</v>
      </c>
      <c r="C281" s="0" t="n">
        <v>2024</v>
      </c>
      <c r="D281" s="0" t="n">
        <v>5</v>
      </c>
      <c r="E281" s="19" t="s">
        <v>685</v>
      </c>
      <c r="F281" s="19" t="s">
        <v>698</v>
      </c>
      <c r="G281" s="19" t="s">
        <v>774</v>
      </c>
      <c r="H281" s="19" t="s">
        <v>362</v>
      </c>
      <c r="I281" s="19" t="s">
        <v>35</v>
      </c>
      <c r="J281" s="19" t="s">
        <v>1048</v>
      </c>
      <c r="K281" s="0" t="n">
        <v>1</v>
      </c>
      <c r="L281" s="20" t="n">
        <v>305.43</v>
      </c>
      <c r="M281" s="20" t="n">
        <v>226.8</v>
      </c>
      <c r="N281" s="20" t="n">
        <v>305.43</v>
      </c>
      <c r="O281" s="20" t="n">
        <v>226.8</v>
      </c>
      <c r="P281" s="20" t="n">
        <v>78.63</v>
      </c>
      <c r="Q281" s="21" t="n">
        <v>0.2574</v>
      </c>
      <c r="R281" s="19" t="s">
        <v>1145</v>
      </c>
    </row>
    <row r="282" customFormat="false" ht="15" hidden="false" customHeight="false" outlineLevel="0" collapsed="false">
      <c r="A282" s="0" t="n">
        <v>281</v>
      </c>
      <c r="B282" s="18" t="n">
        <v>45427</v>
      </c>
      <c r="C282" s="0" t="n">
        <v>2024</v>
      </c>
      <c r="D282" s="0" t="n">
        <v>5</v>
      </c>
      <c r="E282" s="19" t="s">
        <v>204</v>
      </c>
      <c r="F282" s="19" t="s">
        <v>958</v>
      </c>
      <c r="G282" s="19" t="s">
        <v>572</v>
      </c>
      <c r="H282" s="19" t="s">
        <v>333</v>
      </c>
      <c r="I282" s="19" t="s">
        <v>35</v>
      </c>
      <c r="J282" s="19" t="s">
        <v>180</v>
      </c>
      <c r="K282" s="0" t="n">
        <v>2</v>
      </c>
      <c r="L282" s="20" t="n">
        <v>2018.23</v>
      </c>
      <c r="M282" s="20" t="n">
        <v>1480.11</v>
      </c>
      <c r="N282" s="20" t="n">
        <v>4036.46</v>
      </c>
      <c r="O282" s="20" t="n">
        <v>2960.22</v>
      </c>
      <c r="P282" s="20" t="n">
        <v>1076.24</v>
      </c>
      <c r="Q282" s="21" t="n">
        <v>0.2666</v>
      </c>
      <c r="R282" s="19" t="s">
        <v>1147</v>
      </c>
    </row>
    <row r="283" customFormat="false" ht="15" hidden="false" customHeight="false" outlineLevel="0" collapsed="false">
      <c r="A283" s="0" t="n">
        <v>282</v>
      </c>
      <c r="B283" s="18" t="n">
        <v>45433</v>
      </c>
      <c r="C283" s="0" t="n">
        <v>2024</v>
      </c>
      <c r="D283" s="0" t="n">
        <v>5</v>
      </c>
      <c r="E283" s="19" t="s">
        <v>782</v>
      </c>
      <c r="F283" s="19" t="s">
        <v>588</v>
      </c>
      <c r="G283" s="19" t="s">
        <v>1152</v>
      </c>
      <c r="H283" s="19" t="s">
        <v>362</v>
      </c>
      <c r="I283" s="19" t="s">
        <v>54</v>
      </c>
      <c r="J283" s="19" t="s">
        <v>1160</v>
      </c>
      <c r="K283" s="0" t="n">
        <v>2</v>
      </c>
      <c r="L283" s="20" t="n">
        <v>741.69</v>
      </c>
      <c r="M283" s="20" t="n">
        <v>511.4</v>
      </c>
      <c r="N283" s="20" t="n">
        <v>1483.38</v>
      </c>
      <c r="O283" s="20" t="n">
        <v>1022.8</v>
      </c>
      <c r="P283" s="20" t="n">
        <v>460.58</v>
      </c>
      <c r="Q283" s="21" t="n">
        <v>0.3105</v>
      </c>
      <c r="R283" s="19" t="s">
        <v>1149</v>
      </c>
    </row>
    <row r="284" customFormat="false" ht="15" hidden="false" customHeight="false" outlineLevel="0" collapsed="false">
      <c r="A284" s="0" t="n">
        <v>283</v>
      </c>
      <c r="B284" s="18" t="n">
        <v>45434</v>
      </c>
      <c r="C284" s="0" t="n">
        <v>2024</v>
      </c>
      <c r="D284" s="0" t="n">
        <v>5</v>
      </c>
      <c r="E284" s="19" t="s">
        <v>268</v>
      </c>
      <c r="F284" s="19" t="s">
        <v>960</v>
      </c>
      <c r="G284" s="19" t="s">
        <v>217</v>
      </c>
      <c r="H284" s="19" t="s">
        <v>362</v>
      </c>
      <c r="I284" s="19" t="s">
        <v>35</v>
      </c>
      <c r="J284" s="19" t="s">
        <v>807</v>
      </c>
      <c r="K284" s="0" t="n">
        <v>1</v>
      </c>
      <c r="L284" s="20" t="n">
        <v>5848.44</v>
      </c>
      <c r="M284" s="20" t="n">
        <v>3515.2</v>
      </c>
      <c r="N284" s="20" t="n">
        <v>5848.44</v>
      </c>
      <c r="O284" s="20" t="n">
        <v>3515.2</v>
      </c>
      <c r="P284" s="20" t="n">
        <v>2333.24</v>
      </c>
      <c r="Q284" s="21" t="n">
        <v>0.399</v>
      </c>
      <c r="R284" s="19" t="s">
        <v>1147</v>
      </c>
    </row>
    <row r="285" customFormat="false" ht="15" hidden="false" customHeight="false" outlineLevel="0" collapsed="false">
      <c r="A285" s="0" t="n">
        <v>284</v>
      </c>
      <c r="B285" s="18" t="n">
        <v>45435</v>
      </c>
      <c r="C285" s="0" t="n">
        <v>2024</v>
      </c>
      <c r="D285" s="0" t="n">
        <v>5</v>
      </c>
      <c r="E285" s="19" t="s">
        <v>268</v>
      </c>
      <c r="F285" s="19" t="s">
        <v>853</v>
      </c>
      <c r="G285" s="19" t="s">
        <v>1148</v>
      </c>
      <c r="H285" s="19" t="s">
        <v>362</v>
      </c>
      <c r="I285" s="19" t="s">
        <v>35</v>
      </c>
      <c r="J285" s="19" t="s">
        <v>613</v>
      </c>
      <c r="K285" s="0" t="n">
        <v>2</v>
      </c>
      <c r="L285" s="20" t="n">
        <v>1230.99</v>
      </c>
      <c r="M285" s="20" t="n">
        <v>704.25</v>
      </c>
      <c r="N285" s="20" t="n">
        <v>2461.98</v>
      </c>
      <c r="O285" s="20" t="n">
        <v>1408.5</v>
      </c>
      <c r="P285" s="20" t="n">
        <v>1053.48</v>
      </c>
      <c r="Q285" s="21" t="n">
        <v>0.4279</v>
      </c>
      <c r="R285" s="19" t="s">
        <v>1149</v>
      </c>
    </row>
    <row r="286" customFormat="false" ht="15" hidden="false" customHeight="false" outlineLevel="0" collapsed="false">
      <c r="A286" s="0" t="n">
        <v>285</v>
      </c>
      <c r="B286" s="18" t="n">
        <v>45436</v>
      </c>
      <c r="C286" s="0" t="n">
        <v>2024</v>
      </c>
      <c r="D286" s="0" t="n">
        <v>5</v>
      </c>
      <c r="E286" s="19" t="s">
        <v>782</v>
      </c>
      <c r="F286" s="19" t="s">
        <v>960</v>
      </c>
      <c r="G286" s="19" t="s">
        <v>217</v>
      </c>
      <c r="H286" s="19" t="s">
        <v>333</v>
      </c>
      <c r="I286" s="19" t="s">
        <v>54</v>
      </c>
      <c r="J286" s="19" t="s">
        <v>741</v>
      </c>
      <c r="K286" s="0" t="n">
        <v>1</v>
      </c>
      <c r="L286" s="20" t="n">
        <v>7891.13</v>
      </c>
      <c r="M286" s="20" t="n">
        <v>4439.04</v>
      </c>
      <c r="N286" s="20" t="n">
        <v>7891.13</v>
      </c>
      <c r="O286" s="20" t="n">
        <v>4439.04</v>
      </c>
      <c r="P286" s="20" t="n">
        <v>3452.09</v>
      </c>
      <c r="Q286" s="21" t="n">
        <v>0.4375</v>
      </c>
      <c r="R286" s="19" t="s">
        <v>1147</v>
      </c>
    </row>
    <row r="287" customFormat="false" ht="15" hidden="false" customHeight="false" outlineLevel="0" collapsed="false">
      <c r="A287" s="0" t="n">
        <v>286</v>
      </c>
      <c r="B287" s="18" t="n">
        <v>45438</v>
      </c>
      <c r="C287" s="0" t="n">
        <v>2024</v>
      </c>
      <c r="D287" s="0" t="n">
        <v>5</v>
      </c>
      <c r="E287" s="19" t="s">
        <v>268</v>
      </c>
      <c r="F287" s="19" t="s">
        <v>960</v>
      </c>
      <c r="G287" s="19" t="s">
        <v>1154</v>
      </c>
      <c r="H287" s="19" t="s">
        <v>333</v>
      </c>
      <c r="I287" s="19" t="s">
        <v>35</v>
      </c>
      <c r="J287" s="19" t="s">
        <v>377</v>
      </c>
      <c r="K287" s="0" t="n">
        <v>1</v>
      </c>
      <c r="L287" s="20" t="n">
        <v>2767.13</v>
      </c>
      <c r="M287" s="20" t="n">
        <v>1974.79</v>
      </c>
      <c r="N287" s="20" t="n">
        <v>2767.13</v>
      </c>
      <c r="O287" s="20" t="n">
        <v>1974.79</v>
      </c>
      <c r="P287" s="20" t="n">
        <v>792.34</v>
      </c>
      <c r="Q287" s="21" t="n">
        <v>0.2863</v>
      </c>
      <c r="R287" s="19" t="s">
        <v>1149</v>
      </c>
    </row>
    <row r="288" customFormat="false" ht="15" hidden="false" customHeight="false" outlineLevel="0" collapsed="false">
      <c r="A288" s="0" t="n">
        <v>287</v>
      </c>
      <c r="B288" s="18" t="n">
        <v>45441</v>
      </c>
      <c r="C288" s="0" t="n">
        <v>2024</v>
      </c>
      <c r="D288" s="0" t="n">
        <v>5</v>
      </c>
      <c r="E288" s="19" t="s">
        <v>204</v>
      </c>
      <c r="F288" s="19" t="s">
        <v>698</v>
      </c>
      <c r="G288" s="19" t="s">
        <v>173</v>
      </c>
      <c r="H288" s="19" t="s">
        <v>333</v>
      </c>
      <c r="I288" s="19" t="s">
        <v>35</v>
      </c>
      <c r="J288" s="19" t="s">
        <v>377</v>
      </c>
      <c r="K288" s="0" t="n">
        <v>1</v>
      </c>
      <c r="L288" s="20" t="n">
        <v>97.89</v>
      </c>
      <c r="M288" s="20" t="n">
        <v>70.35</v>
      </c>
      <c r="N288" s="20" t="n">
        <v>97.89</v>
      </c>
      <c r="O288" s="20" t="n">
        <v>70.35</v>
      </c>
      <c r="P288" s="20" t="n">
        <v>27.54</v>
      </c>
      <c r="Q288" s="21" t="n">
        <v>0.2813</v>
      </c>
      <c r="R288" s="19" t="s">
        <v>1145</v>
      </c>
    </row>
    <row r="289" customFormat="false" ht="15" hidden="false" customHeight="false" outlineLevel="0" collapsed="false">
      <c r="A289" s="0" t="n">
        <v>288</v>
      </c>
      <c r="B289" s="18" t="n">
        <v>45449</v>
      </c>
      <c r="C289" s="0" t="n">
        <v>2024</v>
      </c>
      <c r="D289" s="0" t="n">
        <v>6</v>
      </c>
      <c r="E289" s="19" t="s">
        <v>782</v>
      </c>
      <c r="F289" s="19" t="s">
        <v>698</v>
      </c>
      <c r="G289" s="19" t="s">
        <v>774</v>
      </c>
      <c r="H289" s="19" t="s">
        <v>362</v>
      </c>
      <c r="I289" s="19" t="s">
        <v>54</v>
      </c>
      <c r="J289" s="19" t="s">
        <v>377</v>
      </c>
      <c r="K289" s="0" t="n">
        <v>1</v>
      </c>
      <c r="L289" s="20" t="n">
        <v>191.35</v>
      </c>
      <c r="M289" s="20" t="n">
        <v>119.09</v>
      </c>
      <c r="N289" s="20" t="n">
        <v>191.35</v>
      </c>
      <c r="O289" s="20" t="n">
        <v>119.09</v>
      </c>
      <c r="P289" s="20" t="n">
        <v>72.26</v>
      </c>
      <c r="Q289" s="21" t="n">
        <v>0.3776</v>
      </c>
      <c r="R289" s="19" t="s">
        <v>1145</v>
      </c>
    </row>
    <row r="290" customFormat="false" ht="15" hidden="false" customHeight="false" outlineLevel="0" collapsed="false">
      <c r="A290" s="0" t="n">
        <v>289</v>
      </c>
      <c r="B290" s="18" t="n">
        <v>45450</v>
      </c>
      <c r="C290" s="0" t="n">
        <v>2024</v>
      </c>
      <c r="D290" s="0" t="n">
        <v>6</v>
      </c>
      <c r="E290" s="19" t="s">
        <v>204</v>
      </c>
      <c r="F290" s="19" t="s">
        <v>958</v>
      </c>
      <c r="G290" s="19" t="s">
        <v>1150</v>
      </c>
      <c r="H290" s="19" t="s">
        <v>333</v>
      </c>
      <c r="I290" s="19" t="s">
        <v>54</v>
      </c>
      <c r="J290" s="19" t="s">
        <v>716</v>
      </c>
      <c r="K290" s="0" t="n">
        <v>2</v>
      </c>
      <c r="L290" s="20" t="n">
        <v>2268.99</v>
      </c>
      <c r="M290" s="20" t="n">
        <v>1548.99</v>
      </c>
      <c r="N290" s="20" t="n">
        <v>4537.98</v>
      </c>
      <c r="O290" s="20" t="n">
        <v>3097.98</v>
      </c>
      <c r="P290" s="20" t="n">
        <v>1440</v>
      </c>
      <c r="Q290" s="21" t="n">
        <v>0.3173</v>
      </c>
      <c r="R290" s="19" t="s">
        <v>1147</v>
      </c>
    </row>
    <row r="291" customFormat="false" ht="15" hidden="false" customHeight="false" outlineLevel="0" collapsed="false">
      <c r="A291" s="0" t="n">
        <v>290</v>
      </c>
      <c r="B291" s="18" t="n">
        <v>45450</v>
      </c>
      <c r="C291" s="0" t="n">
        <v>2024</v>
      </c>
      <c r="D291" s="0" t="n">
        <v>6</v>
      </c>
      <c r="E291" s="19" t="s">
        <v>204</v>
      </c>
      <c r="F291" s="19" t="s">
        <v>588</v>
      </c>
      <c r="G291" s="19" t="s">
        <v>1152</v>
      </c>
      <c r="H291" s="19" t="s">
        <v>362</v>
      </c>
      <c r="I291" s="19" t="s">
        <v>35</v>
      </c>
      <c r="J291" s="19" t="s">
        <v>647</v>
      </c>
      <c r="K291" s="0" t="n">
        <v>1</v>
      </c>
      <c r="L291" s="20" t="n">
        <v>866.44</v>
      </c>
      <c r="M291" s="20" t="n">
        <v>673.42</v>
      </c>
      <c r="N291" s="20" t="n">
        <v>866.44</v>
      </c>
      <c r="O291" s="20" t="n">
        <v>673.42</v>
      </c>
      <c r="P291" s="20" t="n">
        <v>193.02</v>
      </c>
      <c r="Q291" s="21" t="n">
        <v>0.2228</v>
      </c>
      <c r="R291" s="19" t="s">
        <v>1145</v>
      </c>
    </row>
    <row r="292" customFormat="false" ht="15" hidden="false" customHeight="false" outlineLevel="0" collapsed="false">
      <c r="A292" s="0" t="n">
        <v>291</v>
      </c>
      <c r="B292" s="18" t="n">
        <v>45452</v>
      </c>
      <c r="C292" s="0" t="n">
        <v>2024</v>
      </c>
      <c r="D292" s="0" t="n">
        <v>6</v>
      </c>
      <c r="E292" s="19" t="s">
        <v>685</v>
      </c>
      <c r="F292" s="19" t="s">
        <v>853</v>
      </c>
      <c r="G292" s="19" t="s">
        <v>298</v>
      </c>
      <c r="H292" s="19" t="s">
        <v>362</v>
      </c>
      <c r="I292" s="19" t="s">
        <v>35</v>
      </c>
      <c r="J292" s="19" t="s">
        <v>1158</v>
      </c>
      <c r="K292" s="0" t="n">
        <v>1</v>
      </c>
      <c r="L292" s="20" t="n">
        <v>2487.29</v>
      </c>
      <c r="M292" s="20" t="n">
        <v>1679.41</v>
      </c>
      <c r="N292" s="20" t="n">
        <v>2487.29</v>
      </c>
      <c r="O292" s="20" t="n">
        <v>1679.41</v>
      </c>
      <c r="P292" s="20" t="n">
        <v>807.88</v>
      </c>
      <c r="Q292" s="21" t="n">
        <v>0.3248</v>
      </c>
      <c r="R292" s="19" t="s">
        <v>1149</v>
      </c>
    </row>
    <row r="293" customFormat="false" ht="15" hidden="false" customHeight="false" outlineLevel="0" collapsed="false">
      <c r="A293" s="0" t="n">
        <v>292</v>
      </c>
      <c r="B293" s="18" t="n">
        <v>45454</v>
      </c>
      <c r="C293" s="0" t="n">
        <v>2024</v>
      </c>
      <c r="D293" s="0" t="n">
        <v>6</v>
      </c>
      <c r="E293" s="19" t="s">
        <v>204</v>
      </c>
      <c r="F293" s="19" t="s">
        <v>698</v>
      </c>
      <c r="G293" s="19" t="s">
        <v>774</v>
      </c>
      <c r="H293" s="19" t="s">
        <v>362</v>
      </c>
      <c r="I293" s="19" t="s">
        <v>35</v>
      </c>
      <c r="J293" s="19" t="s">
        <v>586</v>
      </c>
      <c r="K293" s="0" t="n">
        <v>1</v>
      </c>
      <c r="L293" s="20" t="n">
        <v>79.27</v>
      </c>
      <c r="M293" s="20" t="n">
        <v>54.9</v>
      </c>
      <c r="N293" s="20" t="n">
        <v>79.27</v>
      </c>
      <c r="O293" s="20" t="n">
        <v>54.9</v>
      </c>
      <c r="P293" s="20" t="n">
        <v>24.37</v>
      </c>
      <c r="Q293" s="21" t="n">
        <v>0.3074</v>
      </c>
      <c r="R293" s="19" t="s">
        <v>1145</v>
      </c>
    </row>
    <row r="294" customFormat="false" ht="15" hidden="false" customHeight="false" outlineLevel="0" collapsed="false">
      <c r="A294" s="0" t="n">
        <v>293</v>
      </c>
      <c r="B294" s="18" t="n">
        <v>45456</v>
      </c>
      <c r="C294" s="0" t="n">
        <v>2024</v>
      </c>
      <c r="D294" s="0" t="n">
        <v>6</v>
      </c>
      <c r="E294" s="19" t="s">
        <v>685</v>
      </c>
      <c r="F294" s="19" t="s">
        <v>958</v>
      </c>
      <c r="G294" s="19" t="s">
        <v>902</v>
      </c>
      <c r="H294" s="19" t="s">
        <v>333</v>
      </c>
      <c r="I294" s="19" t="s">
        <v>35</v>
      </c>
      <c r="J294" s="19" t="s">
        <v>1155</v>
      </c>
      <c r="K294" s="0" t="n">
        <v>1</v>
      </c>
      <c r="L294" s="20" t="n">
        <v>2093.02</v>
      </c>
      <c r="M294" s="20" t="n">
        <v>1229.23</v>
      </c>
      <c r="N294" s="20" t="n">
        <v>2093.02</v>
      </c>
      <c r="O294" s="20" t="n">
        <v>1229.23</v>
      </c>
      <c r="P294" s="20" t="n">
        <v>863.79</v>
      </c>
      <c r="Q294" s="21" t="n">
        <v>0.4127</v>
      </c>
      <c r="R294" s="19" t="s">
        <v>1149</v>
      </c>
    </row>
    <row r="295" customFormat="false" ht="15" hidden="false" customHeight="false" outlineLevel="0" collapsed="false">
      <c r="A295" s="0" t="n">
        <v>294</v>
      </c>
      <c r="B295" s="18" t="n">
        <v>45457</v>
      </c>
      <c r="C295" s="0" t="n">
        <v>2024</v>
      </c>
      <c r="D295" s="0" t="n">
        <v>6</v>
      </c>
      <c r="E295" s="19" t="s">
        <v>685</v>
      </c>
      <c r="F295" s="19" t="s">
        <v>958</v>
      </c>
      <c r="G295" s="19" t="s">
        <v>862</v>
      </c>
      <c r="H295" s="19" t="s">
        <v>362</v>
      </c>
      <c r="I295" s="19" t="s">
        <v>54</v>
      </c>
      <c r="J295" s="19" t="s">
        <v>758</v>
      </c>
      <c r="K295" s="0" t="n">
        <v>1</v>
      </c>
      <c r="L295" s="20" t="n">
        <v>2859.49</v>
      </c>
      <c r="M295" s="20" t="n">
        <v>1955.91</v>
      </c>
      <c r="N295" s="20" t="n">
        <v>2859.49</v>
      </c>
      <c r="O295" s="20" t="n">
        <v>1955.91</v>
      </c>
      <c r="P295" s="20" t="n">
        <v>903.58</v>
      </c>
      <c r="Q295" s="21" t="n">
        <v>0.316</v>
      </c>
      <c r="R295" s="19" t="s">
        <v>1149</v>
      </c>
    </row>
    <row r="296" customFormat="false" ht="15" hidden="false" customHeight="false" outlineLevel="0" collapsed="false">
      <c r="A296" s="0" t="n">
        <v>295</v>
      </c>
      <c r="B296" s="18" t="n">
        <v>45459</v>
      </c>
      <c r="C296" s="0" t="n">
        <v>2024</v>
      </c>
      <c r="D296" s="0" t="n">
        <v>6</v>
      </c>
      <c r="E296" s="19" t="s">
        <v>204</v>
      </c>
      <c r="F296" s="19" t="s">
        <v>958</v>
      </c>
      <c r="G296" s="19" t="s">
        <v>881</v>
      </c>
      <c r="H296" s="19" t="s">
        <v>333</v>
      </c>
      <c r="I296" s="19" t="s">
        <v>35</v>
      </c>
      <c r="J296" s="19" t="s">
        <v>180</v>
      </c>
      <c r="K296" s="0" t="n">
        <v>2</v>
      </c>
      <c r="L296" s="20" t="n">
        <v>4469.86</v>
      </c>
      <c r="M296" s="20" t="n">
        <v>3422.3</v>
      </c>
      <c r="N296" s="20" t="n">
        <v>8939.72</v>
      </c>
      <c r="O296" s="20" t="n">
        <v>6844.6</v>
      </c>
      <c r="P296" s="20" t="n">
        <v>2095.12</v>
      </c>
      <c r="Q296" s="21" t="n">
        <v>0.2344</v>
      </c>
      <c r="R296" s="19" t="s">
        <v>1147</v>
      </c>
    </row>
    <row r="297" customFormat="false" ht="15" hidden="false" customHeight="false" outlineLevel="0" collapsed="false">
      <c r="A297" s="0" t="n">
        <v>296</v>
      </c>
      <c r="B297" s="18" t="n">
        <v>45463</v>
      </c>
      <c r="C297" s="0" t="n">
        <v>2024</v>
      </c>
      <c r="D297" s="0" t="n">
        <v>6</v>
      </c>
      <c r="E297" s="19" t="s">
        <v>782</v>
      </c>
      <c r="F297" s="19" t="s">
        <v>588</v>
      </c>
      <c r="G297" s="19" t="s">
        <v>1153</v>
      </c>
      <c r="H297" s="19" t="s">
        <v>333</v>
      </c>
      <c r="I297" s="19" t="s">
        <v>35</v>
      </c>
      <c r="J297" s="19" t="s">
        <v>716</v>
      </c>
      <c r="K297" s="0" t="n">
        <v>2</v>
      </c>
      <c r="L297" s="20" t="n">
        <v>280.47</v>
      </c>
      <c r="M297" s="20" t="n">
        <v>178.38</v>
      </c>
      <c r="N297" s="20" t="n">
        <v>560.94</v>
      </c>
      <c r="O297" s="20" t="n">
        <v>356.76</v>
      </c>
      <c r="P297" s="20" t="n">
        <v>204.18</v>
      </c>
      <c r="Q297" s="21" t="n">
        <v>0.364</v>
      </c>
      <c r="R297" s="19" t="s">
        <v>1145</v>
      </c>
    </row>
    <row r="298" customFormat="false" ht="15" hidden="false" customHeight="false" outlineLevel="0" collapsed="false">
      <c r="A298" s="0" t="n">
        <v>297</v>
      </c>
      <c r="B298" s="18" t="n">
        <v>45466</v>
      </c>
      <c r="C298" s="0" t="n">
        <v>2024</v>
      </c>
      <c r="D298" s="0" t="n">
        <v>6</v>
      </c>
      <c r="E298" s="19" t="s">
        <v>204</v>
      </c>
      <c r="F298" s="19" t="s">
        <v>698</v>
      </c>
      <c r="G298" s="19" t="s">
        <v>1157</v>
      </c>
      <c r="H298" s="19" t="s">
        <v>333</v>
      </c>
      <c r="I298" s="19" t="s">
        <v>54</v>
      </c>
      <c r="J298" s="19" t="s">
        <v>716</v>
      </c>
      <c r="K298" s="0" t="n">
        <v>2</v>
      </c>
      <c r="L298" s="20" t="n">
        <v>275.4</v>
      </c>
      <c r="M298" s="20" t="n">
        <v>171.01</v>
      </c>
      <c r="N298" s="20" t="n">
        <v>550.8</v>
      </c>
      <c r="O298" s="20" t="n">
        <v>342.02</v>
      </c>
      <c r="P298" s="20" t="n">
        <v>208.78</v>
      </c>
      <c r="Q298" s="21" t="n">
        <v>0.379</v>
      </c>
      <c r="R298" s="19" t="s">
        <v>1145</v>
      </c>
    </row>
    <row r="299" customFormat="false" ht="15" hidden="false" customHeight="false" outlineLevel="0" collapsed="false">
      <c r="A299" s="0" t="n">
        <v>298</v>
      </c>
      <c r="B299" s="18" t="n">
        <v>45470</v>
      </c>
      <c r="C299" s="0" t="n">
        <v>2024</v>
      </c>
      <c r="D299" s="0" t="n">
        <v>6</v>
      </c>
      <c r="E299" s="19" t="s">
        <v>782</v>
      </c>
      <c r="F299" s="19" t="s">
        <v>960</v>
      </c>
      <c r="G299" s="19" t="s">
        <v>1162</v>
      </c>
      <c r="H299" s="19" t="s">
        <v>362</v>
      </c>
      <c r="I299" s="19" t="s">
        <v>54</v>
      </c>
      <c r="J299" s="19" t="s">
        <v>613</v>
      </c>
      <c r="K299" s="0" t="n">
        <v>1</v>
      </c>
      <c r="L299" s="20" t="n">
        <v>3531.77</v>
      </c>
      <c r="M299" s="20" t="n">
        <v>2220.22</v>
      </c>
      <c r="N299" s="20" t="n">
        <v>3531.77</v>
      </c>
      <c r="O299" s="20" t="n">
        <v>2220.22</v>
      </c>
      <c r="P299" s="20" t="n">
        <v>1311.55</v>
      </c>
      <c r="Q299" s="21" t="n">
        <v>0.3714</v>
      </c>
      <c r="R299" s="19" t="s">
        <v>1147</v>
      </c>
    </row>
    <row r="300" customFormat="false" ht="15" hidden="false" customHeight="false" outlineLevel="0" collapsed="false">
      <c r="A300" s="0" t="n">
        <v>299</v>
      </c>
      <c r="B300" s="18" t="n">
        <v>45471</v>
      </c>
      <c r="C300" s="0" t="n">
        <v>2024</v>
      </c>
      <c r="D300" s="0" t="n">
        <v>6</v>
      </c>
      <c r="E300" s="19" t="s">
        <v>782</v>
      </c>
      <c r="F300" s="19" t="s">
        <v>698</v>
      </c>
      <c r="G300" s="19" t="s">
        <v>1163</v>
      </c>
      <c r="H300" s="19" t="s">
        <v>362</v>
      </c>
      <c r="I300" s="19" t="s">
        <v>35</v>
      </c>
      <c r="J300" s="19" t="s">
        <v>1155</v>
      </c>
      <c r="K300" s="0" t="n">
        <v>1</v>
      </c>
      <c r="L300" s="20" t="n">
        <v>58.93</v>
      </c>
      <c r="M300" s="20" t="n">
        <v>35.42</v>
      </c>
      <c r="N300" s="20" t="n">
        <v>58.93</v>
      </c>
      <c r="O300" s="20" t="n">
        <v>35.42</v>
      </c>
      <c r="P300" s="20" t="n">
        <v>23.51</v>
      </c>
      <c r="Q300" s="21" t="n">
        <v>0.3989</v>
      </c>
      <c r="R300" s="19" t="s">
        <v>1145</v>
      </c>
    </row>
    <row r="301" customFormat="false" ht="15" hidden="false" customHeight="false" outlineLevel="0" collapsed="false">
      <c r="A301" s="0" t="n">
        <v>300</v>
      </c>
      <c r="B301" s="18" t="n">
        <v>45472</v>
      </c>
      <c r="C301" s="0" t="n">
        <v>2024</v>
      </c>
      <c r="D301" s="0" t="n">
        <v>6</v>
      </c>
      <c r="E301" s="19" t="s">
        <v>782</v>
      </c>
      <c r="F301" s="19" t="s">
        <v>958</v>
      </c>
      <c r="G301" s="19" t="s">
        <v>902</v>
      </c>
      <c r="H301" s="19" t="s">
        <v>362</v>
      </c>
      <c r="I301" s="19" t="s">
        <v>35</v>
      </c>
      <c r="J301" s="19" t="s">
        <v>180</v>
      </c>
      <c r="K301" s="0" t="n">
        <v>1</v>
      </c>
      <c r="L301" s="20" t="n">
        <v>2362.3</v>
      </c>
      <c r="M301" s="20" t="n">
        <v>1309.28</v>
      </c>
      <c r="N301" s="20" t="n">
        <v>2362.3</v>
      </c>
      <c r="O301" s="20" t="n">
        <v>1309.28</v>
      </c>
      <c r="P301" s="20" t="n">
        <v>1053.02</v>
      </c>
      <c r="Q301" s="21" t="n">
        <v>0.4458</v>
      </c>
      <c r="R301" s="19" t="s">
        <v>1149</v>
      </c>
    </row>
    <row r="302" customFormat="false" ht="15" hidden="false" customHeight="false" outlineLevel="0" collapsed="false">
      <c r="A302" s="0" t="n">
        <v>301</v>
      </c>
      <c r="B302" s="18" t="n">
        <v>45473</v>
      </c>
      <c r="C302" s="0" t="n">
        <v>2024</v>
      </c>
      <c r="D302" s="0" t="n">
        <v>6</v>
      </c>
      <c r="E302" s="19" t="s">
        <v>685</v>
      </c>
      <c r="F302" s="19" t="s">
        <v>853</v>
      </c>
      <c r="G302" s="19" t="s">
        <v>1148</v>
      </c>
      <c r="H302" s="19" t="s">
        <v>333</v>
      </c>
      <c r="I302" s="19" t="s">
        <v>35</v>
      </c>
      <c r="J302" s="19" t="s">
        <v>1161</v>
      </c>
      <c r="K302" s="0" t="n">
        <v>3</v>
      </c>
      <c r="L302" s="20" t="n">
        <v>2854.38</v>
      </c>
      <c r="M302" s="20" t="n">
        <v>1716.93</v>
      </c>
      <c r="N302" s="20" t="n">
        <v>8563.14</v>
      </c>
      <c r="O302" s="20" t="n">
        <v>5150.79</v>
      </c>
      <c r="P302" s="20" t="n">
        <v>3412.35</v>
      </c>
      <c r="Q302" s="21" t="n">
        <v>0.3985</v>
      </c>
      <c r="R302" s="19" t="s">
        <v>1147</v>
      </c>
    </row>
    <row r="303" customFormat="false" ht="15" hidden="false" customHeight="false" outlineLevel="0" collapsed="false">
      <c r="A303" s="0" t="n">
        <v>302</v>
      </c>
      <c r="B303" s="18" t="n">
        <v>45480</v>
      </c>
      <c r="C303" s="0" t="n">
        <v>2024</v>
      </c>
      <c r="D303" s="0" t="n">
        <v>7</v>
      </c>
      <c r="E303" s="19" t="s">
        <v>782</v>
      </c>
      <c r="F303" s="19" t="s">
        <v>853</v>
      </c>
      <c r="G303" s="19" t="s">
        <v>365</v>
      </c>
      <c r="H303" s="19" t="s">
        <v>333</v>
      </c>
      <c r="I303" s="19" t="s">
        <v>35</v>
      </c>
      <c r="J303" s="19" t="s">
        <v>1057</v>
      </c>
      <c r="K303" s="0" t="n">
        <v>1</v>
      </c>
      <c r="L303" s="20" t="n">
        <v>1141.45</v>
      </c>
      <c r="M303" s="20" t="n">
        <v>868.63</v>
      </c>
      <c r="N303" s="20" t="n">
        <v>1141.45</v>
      </c>
      <c r="O303" s="20" t="n">
        <v>868.63</v>
      </c>
      <c r="P303" s="20" t="n">
        <v>272.82</v>
      </c>
      <c r="Q303" s="21" t="n">
        <v>0.239</v>
      </c>
      <c r="R303" s="19" t="s">
        <v>1149</v>
      </c>
    </row>
    <row r="304" customFormat="false" ht="15" hidden="false" customHeight="false" outlineLevel="0" collapsed="false">
      <c r="A304" s="0" t="n">
        <v>303</v>
      </c>
      <c r="B304" s="18" t="n">
        <v>45480</v>
      </c>
      <c r="C304" s="0" t="n">
        <v>2024</v>
      </c>
      <c r="D304" s="0" t="n">
        <v>7</v>
      </c>
      <c r="E304" s="19" t="s">
        <v>685</v>
      </c>
      <c r="F304" s="19" t="s">
        <v>960</v>
      </c>
      <c r="G304" s="19" t="s">
        <v>217</v>
      </c>
      <c r="H304" s="19" t="s">
        <v>362</v>
      </c>
      <c r="I304" s="19" t="s">
        <v>35</v>
      </c>
      <c r="J304" s="19" t="s">
        <v>1160</v>
      </c>
      <c r="K304" s="0" t="n">
        <v>2</v>
      </c>
      <c r="L304" s="20" t="n">
        <v>6871.13</v>
      </c>
      <c r="M304" s="20" t="n">
        <v>4228.57</v>
      </c>
      <c r="N304" s="20" t="n">
        <v>13742.26</v>
      </c>
      <c r="O304" s="20" t="n">
        <v>8457.14</v>
      </c>
      <c r="P304" s="20" t="n">
        <v>5285.12</v>
      </c>
      <c r="Q304" s="21" t="n">
        <v>0.3846</v>
      </c>
      <c r="R304" s="19" t="s">
        <v>1147</v>
      </c>
    </row>
    <row r="305" customFormat="false" ht="15" hidden="false" customHeight="false" outlineLevel="0" collapsed="false">
      <c r="A305" s="0" t="n">
        <v>304</v>
      </c>
      <c r="B305" s="18" t="n">
        <v>45482</v>
      </c>
      <c r="C305" s="0" t="n">
        <v>2024</v>
      </c>
      <c r="D305" s="0" t="n">
        <v>7</v>
      </c>
      <c r="E305" s="19" t="s">
        <v>268</v>
      </c>
      <c r="F305" s="19" t="s">
        <v>958</v>
      </c>
      <c r="G305" s="19" t="s">
        <v>572</v>
      </c>
      <c r="H305" s="19" t="s">
        <v>333</v>
      </c>
      <c r="I305" s="19" t="s">
        <v>35</v>
      </c>
      <c r="J305" s="19" t="s">
        <v>1057</v>
      </c>
      <c r="K305" s="0" t="n">
        <v>1</v>
      </c>
      <c r="L305" s="20" t="n">
        <v>2533.31</v>
      </c>
      <c r="M305" s="20" t="n">
        <v>1462.78</v>
      </c>
      <c r="N305" s="20" t="n">
        <v>2533.31</v>
      </c>
      <c r="O305" s="20" t="n">
        <v>1462.78</v>
      </c>
      <c r="P305" s="20" t="n">
        <v>1070.53</v>
      </c>
      <c r="Q305" s="21" t="n">
        <v>0.4226</v>
      </c>
      <c r="R305" s="19" t="s">
        <v>1149</v>
      </c>
    </row>
    <row r="306" customFormat="false" ht="15" hidden="false" customHeight="false" outlineLevel="0" collapsed="false">
      <c r="A306" s="0" t="n">
        <v>305</v>
      </c>
      <c r="B306" s="18" t="n">
        <v>45483</v>
      </c>
      <c r="C306" s="0" t="n">
        <v>2024</v>
      </c>
      <c r="D306" s="0" t="n">
        <v>7</v>
      </c>
      <c r="E306" s="19" t="s">
        <v>782</v>
      </c>
      <c r="F306" s="19" t="s">
        <v>960</v>
      </c>
      <c r="G306" s="19" t="s">
        <v>217</v>
      </c>
      <c r="H306" s="19" t="s">
        <v>362</v>
      </c>
      <c r="I306" s="19" t="s">
        <v>54</v>
      </c>
      <c r="J306" s="19" t="s">
        <v>613</v>
      </c>
      <c r="K306" s="0" t="n">
        <v>1</v>
      </c>
      <c r="L306" s="20" t="n">
        <v>7573.14</v>
      </c>
      <c r="M306" s="20" t="n">
        <v>4518.26</v>
      </c>
      <c r="N306" s="20" t="n">
        <v>7573.14</v>
      </c>
      <c r="O306" s="20" t="n">
        <v>4518.26</v>
      </c>
      <c r="P306" s="20" t="n">
        <v>3054.88</v>
      </c>
      <c r="Q306" s="21" t="n">
        <v>0.4034</v>
      </c>
      <c r="R306" s="19" t="s">
        <v>1147</v>
      </c>
    </row>
    <row r="307" customFormat="false" ht="15" hidden="false" customHeight="false" outlineLevel="0" collapsed="false">
      <c r="A307" s="0" t="n">
        <v>306</v>
      </c>
      <c r="B307" s="18" t="n">
        <v>45484</v>
      </c>
      <c r="C307" s="0" t="n">
        <v>2024</v>
      </c>
      <c r="D307" s="0" t="n">
        <v>7</v>
      </c>
      <c r="E307" s="19" t="s">
        <v>782</v>
      </c>
      <c r="F307" s="19" t="s">
        <v>698</v>
      </c>
      <c r="G307" s="19" t="s">
        <v>774</v>
      </c>
      <c r="H307" s="19" t="s">
        <v>362</v>
      </c>
      <c r="I307" s="19" t="s">
        <v>54</v>
      </c>
      <c r="J307" s="19" t="s">
        <v>1160</v>
      </c>
      <c r="K307" s="0" t="n">
        <v>1</v>
      </c>
      <c r="L307" s="20" t="n">
        <v>337.1</v>
      </c>
      <c r="M307" s="20" t="n">
        <v>235.15</v>
      </c>
      <c r="N307" s="20" t="n">
        <v>337.1</v>
      </c>
      <c r="O307" s="20" t="n">
        <v>235.15</v>
      </c>
      <c r="P307" s="20" t="n">
        <v>101.95</v>
      </c>
      <c r="Q307" s="21" t="n">
        <v>0.3024</v>
      </c>
      <c r="R307" s="19" t="s">
        <v>1145</v>
      </c>
    </row>
    <row r="308" customFormat="false" ht="15" hidden="false" customHeight="false" outlineLevel="0" collapsed="false">
      <c r="A308" s="0" t="n">
        <v>307</v>
      </c>
      <c r="B308" s="18" t="n">
        <v>45485</v>
      </c>
      <c r="C308" s="0" t="n">
        <v>2024</v>
      </c>
      <c r="D308" s="0" t="n">
        <v>7</v>
      </c>
      <c r="E308" s="19" t="s">
        <v>782</v>
      </c>
      <c r="F308" s="19" t="s">
        <v>958</v>
      </c>
      <c r="G308" s="19" t="s">
        <v>881</v>
      </c>
      <c r="H308" s="19" t="s">
        <v>333</v>
      </c>
      <c r="I308" s="19" t="s">
        <v>35</v>
      </c>
      <c r="J308" s="19" t="s">
        <v>647</v>
      </c>
      <c r="K308" s="0" t="n">
        <v>2</v>
      </c>
      <c r="L308" s="20" t="n">
        <v>1729.03</v>
      </c>
      <c r="M308" s="20" t="n">
        <v>1183.3</v>
      </c>
      <c r="N308" s="20" t="n">
        <v>3458.06</v>
      </c>
      <c r="O308" s="20" t="n">
        <v>2366.6</v>
      </c>
      <c r="P308" s="20" t="n">
        <v>1091.46</v>
      </c>
      <c r="Q308" s="21" t="n">
        <v>0.3156</v>
      </c>
      <c r="R308" s="19" t="s">
        <v>1147</v>
      </c>
    </row>
    <row r="309" customFormat="false" ht="15" hidden="false" customHeight="false" outlineLevel="0" collapsed="false">
      <c r="A309" s="0" t="n">
        <v>308</v>
      </c>
      <c r="B309" s="18" t="n">
        <v>45488</v>
      </c>
      <c r="C309" s="0" t="n">
        <v>2024</v>
      </c>
      <c r="D309" s="0" t="n">
        <v>7</v>
      </c>
      <c r="E309" s="19" t="s">
        <v>782</v>
      </c>
      <c r="F309" s="19" t="s">
        <v>958</v>
      </c>
      <c r="G309" s="19" t="s">
        <v>902</v>
      </c>
      <c r="H309" s="19" t="s">
        <v>362</v>
      </c>
      <c r="I309" s="19" t="s">
        <v>35</v>
      </c>
      <c r="J309" s="19" t="s">
        <v>741</v>
      </c>
      <c r="K309" s="0" t="n">
        <v>1</v>
      </c>
      <c r="L309" s="20" t="n">
        <v>3437.31</v>
      </c>
      <c r="M309" s="20" t="n">
        <v>2039.57</v>
      </c>
      <c r="N309" s="20" t="n">
        <v>3437.31</v>
      </c>
      <c r="O309" s="20" t="n">
        <v>2039.57</v>
      </c>
      <c r="P309" s="20" t="n">
        <v>1397.74</v>
      </c>
      <c r="Q309" s="21" t="n">
        <v>0.4066</v>
      </c>
      <c r="R309" s="19" t="s">
        <v>1147</v>
      </c>
    </row>
    <row r="310" customFormat="false" ht="15" hidden="false" customHeight="false" outlineLevel="0" collapsed="false">
      <c r="A310" s="0" t="n">
        <v>309</v>
      </c>
      <c r="B310" s="18" t="n">
        <v>45490</v>
      </c>
      <c r="C310" s="0" t="n">
        <v>2024</v>
      </c>
      <c r="D310" s="0" t="n">
        <v>7</v>
      </c>
      <c r="E310" s="19" t="s">
        <v>685</v>
      </c>
      <c r="F310" s="19" t="s">
        <v>853</v>
      </c>
      <c r="G310" s="19" t="s">
        <v>1148</v>
      </c>
      <c r="H310" s="19" t="s">
        <v>333</v>
      </c>
      <c r="I310" s="19" t="s">
        <v>35</v>
      </c>
      <c r="J310" s="19" t="s">
        <v>180</v>
      </c>
      <c r="K310" s="0" t="n">
        <v>1</v>
      </c>
      <c r="L310" s="20" t="n">
        <v>1627.63</v>
      </c>
      <c r="M310" s="20" t="n">
        <v>1140.73</v>
      </c>
      <c r="N310" s="20" t="n">
        <v>1627.63</v>
      </c>
      <c r="O310" s="20" t="n">
        <v>1140.73</v>
      </c>
      <c r="P310" s="20" t="n">
        <v>486.9</v>
      </c>
      <c r="Q310" s="21" t="n">
        <v>0.2991</v>
      </c>
      <c r="R310" s="19" t="s">
        <v>1149</v>
      </c>
    </row>
    <row r="311" customFormat="false" ht="15" hidden="false" customHeight="false" outlineLevel="0" collapsed="false">
      <c r="A311" s="0" t="n">
        <v>310</v>
      </c>
      <c r="B311" s="18" t="n">
        <v>45491</v>
      </c>
      <c r="C311" s="0" t="n">
        <v>2024</v>
      </c>
      <c r="D311" s="0" t="n">
        <v>7</v>
      </c>
      <c r="E311" s="19" t="s">
        <v>204</v>
      </c>
      <c r="F311" s="19" t="s">
        <v>588</v>
      </c>
      <c r="G311" s="19" t="s">
        <v>1153</v>
      </c>
      <c r="H311" s="19" t="s">
        <v>333</v>
      </c>
      <c r="I311" s="19" t="s">
        <v>54</v>
      </c>
      <c r="J311" s="19" t="s">
        <v>180</v>
      </c>
      <c r="K311" s="0" t="n">
        <v>1</v>
      </c>
      <c r="L311" s="20" t="n">
        <v>84.45</v>
      </c>
      <c r="M311" s="20" t="n">
        <v>58.22</v>
      </c>
      <c r="N311" s="20" t="n">
        <v>84.45</v>
      </c>
      <c r="O311" s="20" t="n">
        <v>58.22</v>
      </c>
      <c r="P311" s="20" t="n">
        <v>26.23</v>
      </c>
      <c r="Q311" s="21" t="n">
        <v>0.3106</v>
      </c>
      <c r="R311" s="19" t="s">
        <v>1145</v>
      </c>
    </row>
    <row r="312" customFormat="false" ht="15" hidden="false" customHeight="false" outlineLevel="0" collapsed="false">
      <c r="A312" s="0" t="n">
        <v>311</v>
      </c>
      <c r="B312" s="18" t="n">
        <v>45492</v>
      </c>
      <c r="C312" s="0" t="n">
        <v>2024</v>
      </c>
      <c r="D312" s="0" t="n">
        <v>7</v>
      </c>
      <c r="E312" s="19" t="s">
        <v>685</v>
      </c>
      <c r="F312" s="19" t="s">
        <v>588</v>
      </c>
      <c r="G312" s="19" t="s">
        <v>1152</v>
      </c>
      <c r="H312" s="19" t="s">
        <v>362</v>
      </c>
      <c r="I312" s="19" t="s">
        <v>35</v>
      </c>
      <c r="J312" s="19" t="s">
        <v>260</v>
      </c>
      <c r="K312" s="0" t="n">
        <v>1</v>
      </c>
      <c r="L312" s="20" t="n">
        <v>106.95</v>
      </c>
      <c r="M312" s="20" t="n">
        <v>59.78</v>
      </c>
      <c r="N312" s="20" t="n">
        <v>106.95</v>
      </c>
      <c r="O312" s="20" t="n">
        <v>59.78</v>
      </c>
      <c r="P312" s="20" t="n">
        <v>47.17</v>
      </c>
      <c r="Q312" s="21" t="n">
        <v>0.441</v>
      </c>
      <c r="R312" s="19" t="s">
        <v>1145</v>
      </c>
    </row>
    <row r="313" customFormat="false" ht="15" hidden="false" customHeight="false" outlineLevel="0" collapsed="false">
      <c r="A313" s="0" t="n">
        <v>312</v>
      </c>
      <c r="B313" s="18" t="n">
        <v>45494</v>
      </c>
      <c r="C313" s="0" t="n">
        <v>2024</v>
      </c>
      <c r="D313" s="0" t="n">
        <v>7</v>
      </c>
      <c r="E313" s="19" t="s">
        <v>685</v>
      </c>
      <c r="F313" s="19" t="s">
        <v>588</v>
      </c>
      <c r="G313" s="19" t="s">
        <v>1153</v>
      </c>
      <c r="H313" s="19" t="s">
        <v>362</v>
      </c>
      <c r="I313" s="19" t="s">
        <v>35</v>
      </c>
      <c r="J313" s="19" t="s">
        <v>1160</v>
      </c>
      <c r="K313" s="0" t="n">
        <v>1</v>
      </c>
      <c r="L313" s="20" t="n">
        <v>91.3</v>
      </c>
      <c r="M313" s="20" t="n">
        <v>59.8</v>
      </c>
      <c r="N313" s="20" t="n">
        <v>91.3</v>
      </c>
      <c r="O313" s="20" t="n">
        <v>59.8</v>
      </c>
      <c r="P313" s="20" t="n">
        <v>31.5</v>
      </c>
      <c r="Q313" s="21" t="n">
        <v>0.345</v>
      </c>
      <c r="R313" s="19" t="s">
        <v>1145</v>
      </c>
    </row>
    <row r="314" customFormat="false" ht="15" hidden="false" customHeight="false" outlineLevel="0" collapsed="false">
      <c r="A314" s="0" t="n">
        <v>313</v>
      </c>
      <c r="B314" s="18" t="n">
        <v>45494</v>
      </c>
      <c r="C314" s="0" t="n">
        <v>2024</v>
      </c>
      <c r="D314" s="0" t="n">
        <v>7</v>
      </c>
      <c r="E314" s="19" t="s">
        <v>685</v>
      </c>
      <c r="F314" s="19" t="s">
        <v>958</v>
      </c>
      <c r="G314" s="19" t="s">
        <v>1150</v>
      </c>
      <c r="H314" s="19" t="s">
        <v>333</v>
      </c>
      <c r="I314" s="19" t="s">
        <v>35</v>
      </c>
      <c r="J314" s="19" t="s">
        <v>647</v>
      </c>
      <c r="K314" s="0" t="n">
        <v>1</v>
      </c>
      <c r="L314" s="20" t="n">
        <v>4261.9</v>
      </c>
      <c r="M314" s="20" t="n">
        <v>3312.69</v>
      </c>
      <c r="N314" s="20" t="n">
        <v>4261.9</v>
      </c>
      <c r="O314" s="20" t="n">
        <v>3312.69</v>
      </c>
      <c r="P314" s="20" t="n">
        <v>949.21</v>
      </c>
      <c r="Q314" s="21" t="n">
        <v>0.2227</v>
      </c>
      <c r="R314" s="19" t="s">
        <v>1147</v>
      </c>
    </row>
    <row r="315" customFormat="false" ht="15" hidden="false" customHeight="false" outlineLevel="0" collapsed="false">
      <c r="A315" s="0" t="n">
        <v>314</v>
      </c>
      <c r="B315" s="18" t="n">
        <v>45495</v>
      </c>
      <c r="C315" s="0" t="n">
        <v>2024</v>
      </c>
      <c r="D315" s="0" t="n">
        <v>7</v>
      </c>
      <c r="E315" s="19" t="s">
        <v>685</v>
      </c>
      <c r="F315" s="19" t="s">
        <v>698</v>
      </c>
      <c r="G315" s="19" t="s">
        <v>1157</v>
      </c>
      <c r="H315" s="19" t="s">
        <v>333</v>
      </c>
      <c r="I315" s="19" t="s">
        <v>35</v>
      </c>
      <c r="J315" s="19" t="s">
        <v>1054</v>
      </c>
      <c r="K315" s="0" t="n">
        <v>1</v>
      </c>
      <c r="L315" s="20" t="n">
        <v>122.23</v>
      </c>
      <c r="M315" s="20" t="n">
        <v>88.31</v>
      </c>
      <c r="N315" s="20" t="n">
        <v>122.23</v>
      </c>
      <c r="O315" s="20" t="n">
        <v>88.31</v>
      </c>
      <c r="P315" s="20" t="n">
        <v>33.92</v>
      </c>
      <c r="Q315" s="21" t="n">
        <v>0.2775</v>
      </c>
      <c r="R315" s="19" t="s">
        <v>1145</v>
      </c>
    </row>
    <row r="316" customFormat="false" ht="15" hidden="false" customHeight="false" outlineLevel="0" collapsed="false">
      <c r="A316" s="0" t="n">
        <v>315</v>
      </c>
      <c r="B316" s="18" t="n">
        <v>45495</v>
      </c>
      <c r="C316" s="0" t="n">
        <v>2024</v>
      </c>
      <c r="D316" s="0" t="n">
        <v>7</v>
      </c>
      <c r="E316" s="19" t="s">
        <v>204</v>
      </c>
      <c r="F316" s="19" t="s">
        <v>958</v>
      </c>
      <c r="G316" s="19" t="s">
        <v>572</v>
      </c>
      <c r="H316" s="19" t="s">
        <v>362</v>
      </c>
      <c r="I316" s="19" t="s">
        <v>54</v>
      </c>
      <c r="J316" s="19" t="s">
        <v>807</v>
      </c>
      <c r="K316" s="0" t="n">
        <v>2</v>
      </c>
      <c r="L316" s="20" t="n">
        <v>1602.5</v>
      </c>
      <c r="M316" s="20" t="n">
        <v>1159.38</v>
      </c>
      <c r="N316" s="20" t="n">
        <v>3205</v>
      </c>
      <c r="O316" s="20" t="n">
        <v>2318.76</v>
      </c>
      <c r="P316" s="20" t="n">
        <v>886.24</v>
      </c>
      <c r="Q316" s="21" t="n">
        <v>0.2765</v>
      </c>
      <c r="R316" s="19" t="s">
        <v>1147</v>
      </c>
    </row>
    <row r="317" customFormat="false" ht="15" hidden="false" customHeight="false" outlineLevel="0" collapsed="false">
      <c r="A317" s="0" t="n">
        <v>316</v>
      </c>
      <c r="B317" s="18" t="n">
        <v>45495</v>
      </c>
      <c r="C317" s="0" t="n">
        <v>2024</v>
      </c>
      <c r="D317" s="0" t="n">
        <v>7</v>
      </c>
      <c r="E317" s="19" t="s">
        <v>782</v>
      </c>
      <c r="F317" s="19" t="s">
        <v>960</v>
      </c>
      <c r="G317" s="19" t="s">
        <v>1002</v>
      </c>
      <c r="H317" s="19" t="s">
        <v>362</v>
      </c>
      <c r="I317" s="19" t="s">
        <v>35</v>
      </c>
      <c r="J317" s="19" t="s">
        <v>1155</v>
      </c>
      <c r="K317" s="0" t="n">
        <v>2</v>
      </c>
      <c r="L317" s="20" t="n">
        <v>2797.3</v>
      </c>
      <c r="M317" s="20" t="n">
        <v>2169.51</v>
      </c>
      <c r="N317" s="20" t="n">
        <v>5594.6</v>
      </c>
      <c r="O317" s="20" t="n">
        <v>4339.02</v>
      </c>
      <c r="P317" s="20" t="n">
        <v>1255.58</v>
      </c>
      <c r="Q317" s="21" t="n">
        <v>0.2244</v>
      </c>
      <c r="R317" s="19" t="s">
        <v>1147</v>
      </c>
    </row>
    <row r="318" customFormat="false" ht="15" hidden="false" customHeight="false" outlineLevel="0" collapsed="false">
      <c r="A318" s="0" t="n">
        <v>317</v>
      </c>
      <c r="B318" s="18" t="n">
        <v>45496</v>
      </c>
      <c r="C318" s="0" t="n">
        <v>2024</v>
      </c>
      <c r="D318" s="0" t="n">
        <v>7</v>
      </c>
      <c r="E318" s="19" t="s">
        <v>782</v>
      </c>
      <c r="F318" s="19" t="s">
        <v>698</v>
      </c>
      <c r="G318" s="19" t="s">
        <v>1163</v>
      </c>
      <c r="H318" s="19" t="s">
        <v>362</v>
      </c>
      <c r="I318" s="19" t="s">
        <v>35</v>
      </c>
      <c r="J318" s="19" t="s">
        <v>377</v>
      </c>
      <c r="K318" s="0" t="n">
        <v>1</v>
      </c>
      <c r="L318" s="20" t="n">
        <v>328.28</v>
      </c>
      <c r="M318" s="20" t="n">
        <v>214.56</v>
      </c>
      <c r="N318" s="20" t="n">
        <v>328.28</v>
      </c>
      <c r="O318" s="20" t="n">
        <v>214.56</v>
      </c>
      <c r="P318" s="20" t="n">
        <v>113.72</v>
      </c>
      <c r="Q318" s="21" t="n">
        <v>0.3464</v>
      </c>
      <c r="R318" s="19" t="s">
        <v>1145</v>
      </c>
    </row>
    <row r="319" customFormat="false" ht="15" hidden="false" customHeight="false" outlineLevel="0" collapsed="false">
      <c r="A319" s="0" t="n">
        <v>318</v>
      </c>
      <c r="B319" s="18" t="n">
        <v>45496</v>
      </c>
      <c r="C319" s="0" t="n">
        <v>2024</v>
      </c>
      <c r="D319" s="0" t="n">
        <v>7</v>
      </c>
      <c r="E319" s="19" t="s">
        <v>204</v>
      </c>
      <c r="F319" s="19" t="s">
        <v>588</v>
      </c>
      <c r="G319" s="19" t="s">
        <v>1151</v>
      </c>
      <c r="H319" s="19" t="s">
        <v>362</v>
      </c>
      <c r="I319" s="19" t="s">
        <v>35</v>
      </c>
      <c r="J319" s="19" t="s">
        <v>741</v>
      </c>
      <c r="K319" s="0" t="n">
        <v>1</v>
      </c>
      <c r="L319" s="20" t="n">
        <v>722.03</v>
      </c>
      <c r="M319" s="20" t="n">
        <v>414.49</v>
      </c>
      <c r="N319" s="20" t="n">
        <v>722.03</v>
      </c>
      <c r="O319" s="20" t="n">
        <v>414.49</v>
      </c>
      <c r="P319" s="20" t="n">
        <v>307.54</v>
      </c>
      <c r="Q319" s="21" t="n">
        <v>0.4259</v>
      </c>
      <c r="R319" s="19" t="s">
        <v>1145</v>
      </c>
    </row>
    <row r="320" customFormat="false" ht="15" hidden="false" customHeight="false" outlineLevel="0" collapsed="false">
      <c r="A320" s="0" t="n">
        <v>319</v>
      </c>
      <c r="B320" s="18" t="n">
        <v>45496</v>
      </c>
      <c r="C320" s="0" t="n">
        <v>2024</v>
      </c>
      <c r="D320" s="0" t="n">
        <v>7</v>
      </c>
      <c r="E320" s="19" t="s">
        <v>268</v>
      </c>
      <c r="F320" s="19" t="s">
        <v>958</v>
      </c>
      <c r="G320" s="19" t="s">
        <v>1150</v>
      </c>
      <c r="H320" s="19" t="s">
        <v>333</v>
      </c>
      <c r="I320" s="19" t="s">
        <v>54</v>
      </c>
      <c r="J320" s="19" t="s">
        <v>758</v>
      </c>
      <c r="K320" s="0" t="n">
        <v>1</v>
      </c>
      <c r="L320" s="20" t="n">
        <v>2284.97</v>
      </c>
      <c r="M320" s="20" t="n">
        <v>1353.33</v>
      </c>
      <c r="N320" s="20" t="n">
        <v>2284.97</v>
      </c>
      <c r="O320" s="20" t="n">
        <v>1353.33</v>
      </c>
      <c r="P320" s="20" t="n">
        <v>931.64</v>
      </c>
      <c r="Q320" s="21" t="n">
        <v>0.4077</v>
      </c>
      <c r="R320" s="19" t="s">
        <v>1149</v>
      </c>
    </row>
    <row r="321" customFormat="false" ht="15" hidden="false" customHeight="false" outlineLevel="0" collapsed="false">
      <c r="A321" s="0" t="n">
        <v>320</v>
      </c>
      <c r="B321" s="18" t="n">
        <v>45497</v>
      </c>
      <c r="C321" s="0" t="n">
        <v>2024</v>
      </c>
      <c r="D321" s="0" t="n">
        <v>7</v>
      </c>
      <c r="E321" s="19" t="s">
        <v>937</v>
      </c>
      <c r="F321" s="19" t="s">
        <v>698</v>
      </c>
      <c r="G321" s="19" t="s">
        <v>1157</v>
      </c>
      <c r="H321" s="19" t="s">
        <v>362</v>
      </c>
      <c r="I321" s="19" t="s">
        <v>35</v>
      </c>
      <c r="J321" s="19" t="s">
        <v>758</v>
      </c>
      <c r="K321" s="0" t="n">
        <v>1</v>
      </c>
      <c r="L321" s="20" t="n">
        <v>287.45</v>
      </c>
      <c r="M321" s="20" t="n">
        <v>176.38</v>
      </c>
      <c r="N321" s="20" t="n">
        <v>287.45</v>
      </c>
      <c r="O321" s="20" t="n">
        <v>176.38</v>
      </c>
      <c r="P321" s="20" t="n">
        <v>111.07</v>
      </c>
      <c r="Q321" s="21" t="n">
        <v>0.3864</v>
      </c>
      <c r="R321" s="19" t="s">
        <v>1145</v>
      </c>
    </row>
    <row r="322" customFormat="false" ht="15" hidden="false" customHeight="false" outlineLevel="0" collapsed="false">
      <c r="A322" s="0" t="n">
        <v>321</v>
      </c>
      <c r="B322" s="18" t="n">
        <v>45498</v>
      </c>
      <c r="C322" s="0" t="n">
        <v>2024</v>
      </c>
      <c r="D322" s="0" t="n">
        <v>7</v>
      </c>
      <c r="E322" s="19" t="s">
        <v>685</v>
      </c>
      <c r="F322" s="19" t="s">
        <v>588</v>
      </c>
      <c r="G322" s="19" t="s">
        <v>1151</v>
      </c>
      <c r="H322" s="19" t="s">
        <v>333</v>
      </c>
      <c r="I322" s="19" t="s">
        <v>35</v>
      </c>
      <c r="J322" s="19" t="s">
        <v>1054</v>
      </c>
      <c r="K322" s="0" t="n">
        <v>1</v>
      </c>
      <c r="L322" s="20" t="n">
        <v>635.97</v>
      </c>
      <c r="M322" s="20" t="n">
        <v>476.6</v>
      </c>
      <c r="N322" s="20" t="n">
        <v>635.97</v>
      </c>
      <c r="O322" s="20" t="n">
        <v>476.6</v>
      </c>
      <c r="P322" s="20" t="n">
        <v>159.37</v>
      </c>
      <c r="Q322" s="21" t="n">
        <v>0.2506</v>
      </c>
      <c r="R322" s="19" t="s">
        <v>1145</v>
      </c>
    </row>
    <row r="323" customFormat="false" ht="15" hidden="false" customHeight="false" outlineLevel="0" collapsed="false">
      <c r="A323" s="0" t="n">
        <v>322</v>
      </c>
      <c r="B323" s="18" t="n">
        <v>45498</v>
      </c>
      <c r="C323" s="0" t="n">
        <v>2024</v>
      </c>
      <c r="D323" s="0" t="n">
        <v>7</v>
      </c>
      <c r="E323" s="19" t="s">
        <v>685</v>
      </c>
      <c r="F323" s="19" t="s">
        <v>588</v>
      </c>
      <c r="G323" s="19" t="s">
        <v>1153</v>
      </c>
      <c r="H323" s="19" t="s">
        <v>333</v>
      </c>
      <c r="I323" s="19" t="s">
        <v>35</v>
      </c>
      <c r="J323" s="19" t="s">
        <v>586</v>
      </c>
      <c r="K323" s="0" t="n">
        <v>1</v>
      </c>
      <c r="L323" s="20" t="n">
        <v>373.3</v>
      </c>
      <c r="M323" s="20" t="n">
        <v>217.97</v>
      </c>
      <c r="N323" s="20" t="n">
        <v>373.3</v>
      </c>
      <c r="O323" s="20" t="n">
        <v>217.97</v>
      </c>
      <c r="P323" s="20" t="n">
        <v>155.33</v>
      </c>
      <c r="Q323" s="21" t="n">
        <v>0.4161</v>
      </c>
      <c r="R323" s="19" t="s">
        <v>1145</v>
      </c>
    </row>
    <row r="324" customFormat="false" ht="15" hidden="false" customHeight="false" outlineLevel="0" collapsed="false">
      <c r="A324" s="0" t="n">
        <v>323</v>
      </c>
      <c r="B324" s="18" t="n">
        <v>45499</v>
      </c>
      <c r="C324" s="0" t="n">
        <v>2024</v>
      </c>
      <c r="D324" s="0" t="n">
        <v>7</v>
      </c>
      <c r="E324" s="19" t="s">
        <v>937</v>
      </c>
      <c r="F324" s="19" t="s">
        <v>958</v>
      </c>
      <c r="G324" s="19" t="s">
        <v>881</v>
      </c>
      <c r="H324" s="19" t="s">
        <v>333</v>
      </c>
      <c r="I324" s="19" t="s">
        <v>35</v>
      </c>
      <c r="J324" s="19" t="s">
        <v>1161</v>
      </c>
      <c r="K324" s="0" t="n">
        <v>2</v>
      </c>
      <c r="L324" s="20" t="n">
        <v>2837.75</v>
      </c>
      <c r="M324" s="20" t="n">
        <v>1582.04</v>
      </c>
      <c r="N324" s="20" t="n">
        <v>5675.5</v>
      </c>
      <c r="O324" s="20" t="n">
        <v>3164.08</v>
      </c>
      <c r="P324" s="20" t="n">
        <v>2511.42</v>
      </c>
      <c r="Q324" s="21" t="n">
        <v>0.4425</v>
      </c>
      <c r="R324" s="19" t="s">
        <v>1147</v>
      </c>
    </row>
    <row r="325" customFormat="false" ht="15" hidden="false" customHeight="false" outlineLevel="0" collapsed="false">
      <c r="A325" s="0" t="n">
        <v>324</v>
      </c>
      <c r="B325" s="18" t="n">
        <v>45499</v>
      </c>
      <c r="C325" s="0" t="n">
        <v>2024</v>
      </c>
      <c r="D325" s="0" t="n">
        <v>7</v>
      </c>
      <c r="E325" s="19" t="s">
        <v>268</v>
      </c>
      <c r="F325" s="19" t="s">
        <v>960</v>
      </c>
      <c r="G325" s="19" t="s">
        <v>1002</v>
      </c>
      <c r="H325" s="19" t="s">
        <v>362</v>
      </c>
      <c r="I325" s="19" t="s">
        <v>35</v>
      </c>
      <c r="J325" s="19" t="s">
        <v>1160</v>
      </c>
      <c r="K325" s="0" t="n">
        <v>1</v>
      </c>
      <c r="L325" s="20" t="n">
        <v>4059.36</v>
      </c>
      <c r="M325" s="20" t="n">
        <v>3082.58</v>
      </c>
      <c r="N325" s="20" t="n">
        <v>4059.36</v>
      </c>
      <c r="O325" s="20" t="n">
        <v>3082.58</v>
      </c>
      <c r="P325" s="20" t="n">
        <v>976.78</v>
      </c>
      <c r="Q325" s="21" t="n">
        <v>0.2406</v>
      </c>
      <c r="R325" s="19" t="s">
        <v>1147</v>
      </c>
    </row>
    <row r="326" customFormat="false" ht="15" hidden="false" customHeight="false" outlineLevel="0" collapsed="false">
      <c r="A326" s="0" t="n">
        <v>325</v>
      </c>
      <c r="B326" s="18" t="n">
        <v>45500</v>
      </c>
      <c r="C326" s="0" t="n">
        <v>2024</v>
      </c>
      <c r="D326" s="0" t="n">
        <v>7</v>
      </c>
      <c r="E326" s="19" t="s">
        <v>268</v>
      </c>
      <c r="F326" s="19" t="s">
        <v>960</v>
      </c>
      <c r="G326" s="19" t="s">
        <v>1002</v>
      </c>
      <c r="H326" s="19" t="s">
        <v>362</v>
      </c>
      <c r="I326" s="19" t="s">
        <v>35</v>
      </c>
      <c r="J326" s="19" t="s">
        <v>807</v>
      </c>
      <c r="K326" s="0" t="n">
        <v>1</v>
      </c>
      <c r="L326" s="20" t="n">
        <v>5990.46</v>
      </c>
      <c r="M326" s="20" t="n">
        <v>3857.98</v>
      </c>
      <c r="N326" s="20" t="n">
        <v>5990.46</v>
      </c>
      <c r="O326" s="20" t="n">
        <v>3857.98</v>
      </c>
      <c r="P326" s="20" t="n">
        <v>2132.48</v>
      </c>
      <c r="Q326" s="21" t="n">
        <v>0.356</v>
      </c>
      <c r="R326" s="19" t="s">
        <v>1147</v>
      </c>
    </row>
    <row r="327" customFormat="false" ht="15" hidden="false" customHeight="false" outlineLevel="0" collapsed="false">
      <c r="A327" s="0" t="n">
        <v>326</v>
      </c>
      <c r="B327" s="18" t="n">
        <v>45501</v>
      </c>
      <c r="C327" s="0" t="n">
        <v>2024</v>
      </c>
      <c r="D327" s="0" t="n">
        <v>7</v>
      </c>
      <c r="E327" s="19" t="s">
        <v>782</v>
      </c>
      <c r="F327" s="19" t="s">
        <v>588</v>
      </c>
      <c r="G327" s="19" t="s">
        <v>1151</v>
      </c>
      <c r="H327" s="19" t="s">
        <v>362</v>
      </c>
      <c r="I327" s="19" t="s">
        <v>35</v>
      </c>
      <c r="J327" s="19" t="s">
        <v>1054</v>
      </c>
      <c r="K327" s="0" t="n">
        <v>1</v>
      </c>
      <c r="L327" s="20" t="n">
        <v>423.8</v>
      </c>
      <c r="M327" s="20" t="n">
        <v>234.31</v>
      </c>
      <c r="N327" s="20" t="n">
        <v>423.8</v>
      </c>
      <c r="O327" s="20" t="n">
        <v>234.31</v>
      </c>
      <c r="P327" s="20" t="n">
        <v>189.49</v>
      </c>
      <c r="Q327" s="21" t="n">
        <v>0.4471</v>
      </c>
      <c r="R327" s="19" t="s">
        <v>1145</v>
      </c>
    </row>
    <row r="328" customFormat="false" ht="15" hidden="false" customHeight="false" outlineLevel="0" collapsed="false">
      <c r="A328" s="0" t="n">
        <v>327</v>
      </c>
      <c r="B328" s="18" t="n">
        <v>45507</v>
      </c>
      <c r="C328" s="0" t="n">
        <v>2024</v>
      </c>
      <c r="D328" s="0" t="n">
        <v>8</v>
      </c>
      <c r="E328" s="19" t="s">
        <v>937</v>
      </c>
      <c r="F328" s="19" t="s">
        <v>698</v>
      </c>
      <c r="G328" s="19" t="s">
        <v>252</v>
      </c>
      <c r="H328" s="19" t="s">
        <v>362</v>
      </c>
      <c r="I328" s="19" t="s">
        <v>54</v>
      </c>
      <c r="J328" s="19" t="s">
        <v>647</v>
      </c>
      <c r="K328" s="0" t="n">
        <v>1</v>
      </c>
      <c r="L328" s="20" t="n">
        <v>187.28</v>
      </c>
      <c r="M328" s="20" t="n">
        <v>122.41</v>
      </c>
      <c r="N328" s="20" t="n">
        <v>187.28</v>
      </c>
      <c r="O328" s="20" t="n">
        <v>122.41</v>
      </c>
      <c r="P328" s="20" t="n">
        <v>64.87</v>
      </c>
      <c r="Q328" s="21" t="n">
        <v>0.3464</v>
      </c>
      <c r="R328" s="19" t="s">
        <v>1145</v>
      </c>
    </row>
    <row r="329" customFormat="false" ht="15" hidden="false" customHeight="false" outlineLevel="0" collapsed="false">
      <c r="A329" s="0" t="n">
        <v>328</v>
      </c>
      <c r="B329" s="18" t="n">
        <v>45508</v>
      </c>
      <c r="C329" s="0" t="n">
        <v>2024</v>
      </c>
      <c r="D329" s="0" t="n">
        <v>8</v>
      </c>
      <c r="E329" s="19" t="s">
        <v>782</v>
      </c>
      <c r="F329" s="19" t="s">
        <v>958</v>
      </c>
      <c r="G329" s="19" t="s">
        <v>1150</v>
      </c>
      <c r="H329" s="19" t="s">
        <v>333</v>
      </c>
      <c r="I329" s="19" t="s">
        <v>35</v>
      </c>
      <c r="J329" s="19" t="s">
        <v>180</v>
      </c>
      <c r="K329" s="0" t="n">
        <v>2</v>
      </c>
      <c r="L329" s="20" t="n">
        <v>1385.75</v>
      </c>
      <c r="M329" s="20" t="n">
        <v>836.97</v>
      </c>
      <c r="N329" s="20" t="n">
        <v>2771.5</v>
      </c>
      <c r="O329" s="20" t="n">
        <v>1673.94</v>
      </c>
      <c r="P329" s="20" t="n">
        <v>1097.56</v>
      </c>
      <c r="Q329" s="21" t="n">
        <v>0.396</v>
      </c>
      <c r="R329" s="19" t="s">
        <v>1149</v>
      </c>
    </row>
    <row r="330" customFormat="false" ht="15" hidden="false" customHeight="false" outlineLevel="0" collapsed="false">
      <c r="A330" s="0" t="n">
        <v>329</v>
      </c>
      <c r="B330" s="18" t="n">
        <v>45510</v>
      </c>
      <c r="C330" s="0" t="n">
        <v>2024</v>
      </c>
      <c r="D330" s="0" t="n">
        <v>8</v>
      </c>
      <c r="E330" s="19" t="s">
        <v>937</v>
      </c>
      <c r="F330" s="19" t="s">
        <v>853</v>
      </c>
      <c r="G330" s="19" t="s">
        <v>298</v>
      </c>
      <c r="H330" s="19" t="s">
        <v>333</v>
      </c>
      <c r="I330" s="19" t="s">
        <v>35</v>
      </c>
      <c r="J330" s="19" t="s">
        <v>1057</v>
      </c>
      <c r="K330" s="0" t="n">
        <v>1</v>
      </c>
      <c r="L330" s="20" t="n">
        <v>1644.8</v>
      </c>
      <c r="M330" s="20" t="n">
        <v>1156.08</v>
      </c>
      <c r="N330" s="20" t="n">
        <v>1644.8</v>
      </c>
      <c r="O330" s="20" t="n">
        <v>1156.08</v>
      </c>
      <c r="P330" s="20" t="n">
        <v>488.72</v>
      </c>
      <c r="Q330" s="21" t="n">
        <v>0.2971</v>
      </c>
      <c r="R330" s="19" t="s">
        <v>1149</v>
      </c>
    </row>
    <row r="331" customFormat="false" ht="15" hidden="false" customHeight="false" outlineLevel="0" collapsed="false">
      <c r="A331" s="0" t="n">
        <v>330</v>
      </c>
      <c r="B331" s="18" t="n">
        <v>45511</v>
      </c>
      <c r="C331" s="0" t="n">
        <v>2024</v>
      </c>
      <c r="D331" s="0" t="n">
        <v>8</v>
      </c>
      <c r="E331" s="19" t="s">
        <v>204</v>
      </c>
      <c r="F331" s="19" t="s">
        <v>958</v>
      </c>
      <c r="G331" s="19" t="s">
        <v>862</v>
      </c>
      <c r="H331" s="19" t="s">
        <v>333</v>
      </c>
      <c r="I331" s="19" t="s">
        <v>35</v>
      </c>
      <c r="J331" s="19" t="s">
        <v>831</v>
      </c>
      <c r="K331" s="0" t="n">
        <v>1</v>
      </c>
      <c r="L331" s="20" t="n">
        <v>4222.89</v>
      </c>
      <c r="M331" s="20" t="n">
        <v>3276.6</v>
      </c>
      <c r="N331" s="20" t="n">
        <v>4222.89</v>
      </c>
      <c r="O331" s="20" t="n">
        <v>3276.6</v>
      </c>
      <c r="P331" s="20" t="n">
        <v>946.29</v>
      </c>
      <c r="Q331" s="21" t="n">
        <v>0.2241</v>
      </c>
      <c r="R331" s="19" t="s">
        <v>1147</v>
      </c>
    </row>
    <row r="332" customFormat="false" ht="15" hidden="false" customHeight="false" outlineLevel="0" collapsed="false">
      <c r="A332" s="0" t="n">
        <v>331</v>
      </c>
      <c r="B332" s="18" t="n">
        <v>45512</v>
      </c>
      <c r="C332" s="0" t="n">
        <v>2024</v>
      </c>
      <c r="D332" s="0" t="n">
        <v>8</v>
      </c>
      <c r="E332" s="19" t="s">
        <v>782</v>
      </c>
      <c r="F332" s="19" t="s">
        <v>588</v>
      </c>
      <c r="G332" s="19" t="s">
        <v>1153</v>
      </c>
      <c r="H332" s="19" t="s">
        <v>333</v>
      </c>
      <c r="I332" s="19" t="s">
        <v>35</v>
      </c>
      <c r="J332" s="19" t="s">
        <v>260</v>
      </c>
      <c r="K332" s="0" t="n">
        <v>2</v>
      </c>
      <c r="L332" s="20" t="n">
        <v>637.18</v>
      </c>
      <c r="M332" s="20" t="n">
        <v>496.74</v>
      </c>
      <c r="N332" s="20" t="n">
        <v>1274.36</v>
      </c>
      <c r="O332" s="20" t="n">
        <v>993.48</v>
      </c>
      <c r="P332" s="20" t="n">
        <v>280.88</v>
      </c>
      <c r="Q332" s="21" t="n">
        <v>0.2204</v>
      </c>
      <c r="R332" s="19" t="s">
        <v>1149</v>
      </c>
    </row>
    <row r="333" customFormat="false" ht="15" hidden="false" customHeight="false" outlineLevel="0" collapsed="false">
      <c r="A333" s="0" t="n">
        <v>332</v>
      </c>
      <c r="B333" s="18" t="n">
        <v>45514</v>
      </c>
      <c r="C333" s="0" t="n">
        <v>2024</v>
      </c>
      <c r="D333" s="0" t="n">
        <v>8</v>
      </c>
      <c r="E333" s="19" t="s">
        <v>685</v>
      </c>
      <c r="F333" s="19" t="s">
        <v>698</v>
      </c>
      <c r="G333" s="19" t="s">
        <v>774</v>
      </c>
      <c r="H333" s="19" t="s">
        <v>362</v>
      </c>
      <c r="I333" s="19" t="s">
        <v>35</v>
      </c>
      <c r="J333" s="19" t="s">
        <v>1161</v>
      </c>
      <c r="K333" s="0" t="n">
        <v>1</v>
      </c>
      <c r="L333" s="20" t="n">
        <v>180.92</v>
      </c>
      <c r="M333" s="20" t="n">
        <v>117.65</v>
      </c>
      <c r="N333" s="20" t="n">
        <v>180.92</v>
      </c>
      <c r="O333" s="20" t="n">
        <v>117.65</v>
      </c>
      <c r="P333" s="20" t="n">
        <v>63.27</v>
      </c>
      <c r="Q333" s="21" t="n">
        <v>0.3497</v>
      </c>
      <c r="R333" s="19" t="s">
        <v>1145</v>
      </c>
    </row>
    <row r="334" customFormat="false" ht="15" hidden="false" customHeight="false" outlineLevel="0" collapsed="false">
      <c r="A334" s="0" t="n">
        <v>333</v>
      </c>
      <c r="B334" s="18" t="n">
        <v>45514</v>
      </c>
      <c r="C334" s="0" t="n">
        <v>2024</v>
      </c>
      <c r="D334" s="0" t="n">
        <v>8</v>
      </c>
      <c r="E334" s="19" t="s">
        <v>268</v>
      </c>
      <c r="F334" s="19" t="s">
        <v>588</v>
      </c>
      <c r="G334" s="19" t="s">
        <v>1151</v>
      </c>
      <c r="H334" s="19" t="s">
        <v>362</v>
      </c>
      <c r="I334" s="19" t="s">
        <v>35</v>
      </c>
      <c r="J334" s="19" t="s">
        <v>260</v>
      </c>
      <c r="K334" s="0" t="n">
        <v>1</v>
      </c>
      <c r="L334" s="20" t="n">
        <v>727.72</v>
      </c>
      <c r="M334" s="20" t="n">
        <v>442.74</v>
      </c>
      <c r="N334" s="20" t="n">
        <v>727.72</v>
      </c>
      <c r="O334" s="20" t="n">
        <v>442.74</v>
      </c>
      <c r="P334" s="20" t="n">
        <v>284.98</v>
      </c>
      <c r="Q334" s="21" t="n">
        <v>0.3916</v>
      </c>
      <c r="R334" s="19" t="s">
        <v>1145</v>
      </c>
    </row>
    <row r="335" customFormat="false" ht="15" hidden="false" customHeight="false" outlineLevel="0" collapsed="false">
      <c r="A335" s="0" t="n">
        <v>334</v>
      </c>
      <c r="B335" s="18" t="n">
        <v>45514</v>
      </c>
      <c r="C335" s="0" t="n">
        <v>2024</v>
      </c>
      <c r="D335" s="0" t="n">
        <v>8</v>
      </c>
      <c r="E335" s="19" t="s">
        <v>685</v>
      </c>
      <c r="F335" s="19" t="s">
        <v>958</v>
      </c>
      <c r="G335" s="19" t="s">
        <v>1150</v>
      </c>
      <c r="H335" s="19" t="s">
        <v>362</v>
      </c>
      <c r="I335" s="19" t="s">
        <v>35</v>
      </c>
      <c r="J335" s="19" t="s">
        <v>377</v>
      </c>
      <c r="K335" s="0" t="n">
        <v>1</v>
      </c>
      <c r="L335" s="20" t="n">
        <v>2699.71</v>
      </c>
      <c r="M335" s="20" t="n">
        <v>2096.24</v>
      </c>
      <c r="N335" s="20" t="n">
        <v>2699.71</v>
      </c>
      <c r="O335" s="20" t="n">
        <v>2096.24</v>
      </c>
      <c r="P335" s="20" t="n">
        <v>603.47</v>
      </c>
      <c r="Q335" s="21" t="n">
        <v>0.2235</v>
      </c>
      <c r="R335" s="19" t="s">
        <v>1149</v>
      </c>
    </row>
    <row r="336" customFormat="false" ht="15" hidden="false" customHeight="false" outlineLevel="0" collapsed="false">
      <c r="A336" s="0" t="n">
        <v>335</v>
      </c>
      <c r="B336" s="18" t="n">
        <v>45514</v>
      </c>
      <c r="C336" s="0" t="n">
        <v>2024</v>
      </c>
      <c r="D336" s="0" t="n">
        <v>8</v>
      </c>
      <c r="E336" s="19" t="s">
        <v>937</v>
      </c>
      <c r="F336" s="19" t="s">
        <v>960</v>
      </c>
      <c r="G336" s="19" t="s">
        <v>1162</v>
      </c>
      <c r="H336" s="19" t="s">
        <v>333</v>
      </c>
      <c r="I336" s="19" t="s">
        <v>35</v>
      </c>
      <c r="J336" s="19" t="s">
        <v>260</v>
      </c>
      <c r="K336" s="0" t="n">
        <v>1</v>
      </c>
      <c r="L336" s="20" t="n">
        <v>4364.54</v>
      </c>
      <c r="M336" s="20" t="n">
        <v>2903.57</v>
      </c>
      <c r="N336" s="20" t="n">
        <v>4364.54</v>
      </c>
      <c r="O336" s="20" t="n">
        <v>2903.57</v>
      </c>
      <c r="P336" s="20" t="n">
        <v>1460.97</v>
      </c>
      <c r="Q336" s="21" t="n">
        <v>0.3347</v>
      </c>
      <c r="R336" s="19" t="s">
        <v>1147</v>
      </c>
    </row>
    <row r="337" customFormat="false" ht="15" hidden="false" customHeight="false" outlineLevel="0" collapsed="false">
      <c r="A337" s="0" t="n">
        <v>336</v>
      </c>
      <c r="B337" s="18" t="n">
        <v>45517</v>
      </c>
      <c r="C337" s="0" t="n">
        <v>2024</v>
      </c>
      <c r="D337" s="0" t="n">
        <v>8</v>
      </c>
      <c r="E337" s="19" t="s">
        <v>268</v>
      </c>
      <c r="F337" s="19" t="s">
        <v>958</v>
      </c>
      <c r="G337" s="19" t="s">
        <v>1150</v>
      </c>
      <c r="H337" s="19" t="s">
        <v>333</v>
      </c>
      <c r="I337" s="19" t="s">
        <v>35</v>
      </c>
      <c r="J337" s="19" t="s">
        <v>1054</v>
      </c>
      <c r="K337" s="0" t="n">
        <v>2</v>
      </c>
      <c r="L337" s="20" t="n">
        <v>4179.55</v>
      </c>
      <c r="M337" s="20" t="n">
        <v>2618.06</v>
      </c>
      <c r="N337" s="20" t="n">
        <v>8359.1</v>
      </c>
      <c r="O337" s="20" t="n">
        <v>5236.12</v>
      </c>
      <c r="P337" s="20" t="n">
        <v>3122.98</v>
      </c>
      <c r="Q337" s="21" t="n">
        <v>0.3736</v>
      </c>
      <c r="R337" s="19" t="s">
        <v>1147</v>
      </c>
    </row>
    <row r="338" customFormat="false" ht="15" hidden="false" customHeight="false" outlineLevel="0" collapsed="false">
      <c r="A338" s="0" t="n">
        <v>337</v>
      </c>
      <c r="B338" s="18" t="n">
        <v>45521</v>
      </c>
      <c r="C338" s="0" t="n">
        <v>2024</v>
      </c>
      <c r="D338" s="0" t="n">
        <v>8</v>
      </c>
      <c r="E338" s="19" t="s">
        <v>204</v>
      </c>
      <c r="F338" s="19" t="s">
        <v>853</v>
      </c>
      <c r="G338" s="19" t="s">
        <v>365</v>
      </c>
      <c r="H338" s="19" t="s">
        <v>362</v>
      </c>
      <c r="I338" s="19" t="s">
        <v>54</v>
      </c>
      <c r="J338" s="19" t="s">
        <v>1158</v>
      </c>
      <c r="K338" s="0" t="n">
        <v>1</v>
      </c>
      <c r="L338" s="20" t="n">
        <v>2354.07</v>
      </c>
      <c r="M338" s="20" t="n">
        <v>1426.96</v>
      </c>
      <c r="N338" s="20" t="n">
        <v>2354.07</v>
      </c>
      <c r="O338" s="20" t="n">
        <v>1426.96</v>
      </c>
      <c r="P338" s="20" t="n">
        <v>927.11</v>
      </c>
      <c r="Q338" s="21" t="n">
        <v>0.3938</v>
      </c>
      <c r="R338" s="19" t="s">
        <v>1149</v>
      </c>
    </row>
    <row r="339" customFormat="false" ht="15" hidden="false" customHeight="false" outlineLevel="0" collapsed="false">
      <c r="A339" s="0" t="n">
        <v>338</v>
      </c>
      <c r="B339" s="18" t="n">
        <v>45523</v>
      </c>
      <c r="C339" s="0" t="n">
        <v>2024</v>
      </c>
      <c r="D339" s="0" t="n">
        <v>8</v>
      </c>
      <c r="E339" s="19" t="s">
        <v>782</v>
      </c>
      <c r="F339" s="19" t="s">
        <v>588</v>
      </c>
      <c r="G339" s="19" t="s">
        <v>1152</v>
      </c>
      <c r="H339" s="19" t="s">
        <v>333</v>
      </c>
      <c r="I339" s="19" t="s">
        <v>35</v>
      </c>
      <c r="J339" s="19" t="s">
        <v>1067</v>
      </c>
      <c r="K339" s="0" t="n">
        <v>2</v>
      </c>
      <c r="L339" s="20" t="n">
        <v>445.93</v>
      </c>
      <c r="M339" s="20" t="n">
        <v>319.45</v>
      </c>
      <c r="N339" s="20" t="n">
        <v>891.86</v>
      </c>
      <c r="O339" s="20" t="n">
        <v>638.9</v>
      </c>
      <c r="P339" s="20" t="n">
        <v>252.96</v>
      </c>
      <c r="Q339" s="21" t="n">
        <v>0.2836</v>
      </c>
      <c r="R339" s="19" t="s">
        <v>1145</v>
      </c>
    </row>
    <row r="340" customFormat="false" ht="15" hidden="false" customHeight="false" outlineLevel="0" collapsed="false">
      <c r="A340" s="0" t="n">
        <v>339</v>
      </c>
      <c r="B340" s="18" t="n">
        <v>45527</v>
      </c>
      <c r="C340" s="0" t="n">
        <v>2024</v>
      </c>
      <c r="D340" s="0" t="n">
        <v>8</v>
      </c>
      <c r="E340" s="19" t="s">
        <v>685</v>
      </c>
      <c r="F340" s="19" t="s">
        <v>958</v>
      </c>
      <c r="G340" s="19" t="s">
        <v>572</v>
      </c>
      <c r="H340" s="19" t="s">
        <v>362</v>
      </c>
      <c r="I340" s="19" t="s">
        <v>35</v>
      </c>
      <c r="J340" s="19" t="s">
        <v>260</v>
      </c>
      <c r="K340" s="0" t="n">
        <v>3</v>
      </c>
      <c r="L340" s="20" t="n">
        <v>4362.82</v>
      </c>
      <c r="M340" s="20" t="n">
        <v>3174.32</v>
      </c>
      <c r="N340" s="20" t="n">
        <v>13088.46</v>
      </c>
      <c r="O340" s="20" t="n">
        <v>9522.96</v>
      </c>
      <c r="P340" s="20" t="n">
        <v>3565.5</v>
      </c>
      <c r="Q340" s="21" t="n">
        <v>0.2724</v>
      </c>
      <c r="R340" s="19" t="s">
        <v>1147</v>
      </c>
    </row>
    <row r="341" customFormat="false" ht="15" hidden="false" customHeight="false" outlineLevel="0" collapsed="false">
      <c r="A341" s="0" t="n">
        <v>340</v>
      </c>
      <c r="B341" s="18" t="n">
        <v>45529</v>
      </c>
      <c r="C341" s="0" t="n">
        <v>2024</v>
      </c>
      <c r="D341" s="0" t="n">
        <v>8</v>
      </c>
      <c r="E341" s="19" t="s">
        <v>937</v>
      </c>
      <c r="F341" s="19" t="s">
        <v>588</v>
      </c>
      <c r="G341" s="19" t="s">
        <v>1152</v>
      </c>
      <c r="H341" s="19" t="s">
        <v>333</v>
      </c>
      <c r="I341" s="19" t="s">
        <v>54</v>
      </c>
      <c r="J341" s="19" t="s">
        <v>647</v>
      </c>
      <c r="K341" s="0" t="n">
        <v>1</v>
      </c>
      <c r="L341" s="20" t="n">
        <v>739.18</v>
      </c>
      <c r="M341" s="20" t="n">
        <v>543.58</v>
      </c>
      <c r="N341" s="20" t="n">
        <v>739.18</v>
      </c>
      <c r="O341" s="20" t="n">
        <v>543.58</v>
      </c>
      <c r="P341" s="20" t="n">
        <v>195.6</v>
      </c>
      <c r="Q341" s="21" t="n">
        <v>0.2646</v>
      </c>
      <c r="R341" s="19" t="s">
        <v>1145</v>
      </c>
    </row>
    <row r="342" customFormat="false" ht="15" hidden="false" customHeight="false" outlineLevel="0" collapsed="false">
      <c r="A342" s="0" t="n">
        <v>341</v>
      </c>
      <c r="B342" s="18" t="n">
        <v>45529</v>
      </c>
      <c r="C342" s="0" t="n">
        <v>2024</v>
      </c>
      <c r="D342" s="0" t="n">
        <v>8</v>
      </c>
      <c r="E342" s="19" t="s">
        <v>937</v>
      </c>
      <c r="F342" s="19" t="s">
        <v>853</v>
      </c>
      <c r="G342" s="19" t="s">
        <v>365</v>
      </c>
      <c r="H342" s="19" t="s">
        <v>333</v>
      </c>
      <c r="I342" s="19" t="s">
        <v>54</v>
      </c>
      <c r="J342" s="19" t="s">
        <v>807</v>
      </c>
      <c r="K342" s="0" t="n">
        <v>1</v>
      </c>
      <c r="L342" s="20" t="n">
        <v>1963.98</v>
      </c>
      <c r="M342" s="20" t="n">
        <v>1134.15</v>
      </c>
      <c r="N342" s="20" t="n">
        <v>1963.98</v>
      </c>
      <c r="O342" s="20" t="n">
        <v>1134.15</v>
      </c>
      <c r="P342" s="20" t="n">
        <v>829.83</v>
      </c>
      <c r="Q342" s="21" t="n">
        <v>0.4225</v>
      </c>
      <c r="R342" s="19" t="s">
        <v>1149</v>
      </c>
    </row>
    <row r="343" customFormat="false" ht="15" hidden="false" customHeight="false" outlineLevel="0" collapsed="false">
      <c r="A343" s="0" t="n">
        <v>342</v>
      </c>
      <c r="B343" s="18" t="n">
        <v>45530</v>
      </c>
      <c r="C343" s="0" t="n">
        <v>2024</v>
      </c>
      <c r="D343" s="0" t="n">
        <v>8</v>
      </c>
      <c r="E343" s="19" t="s">
        <v>782</v>
      </c>
      <c r="F343" s="19" t="s">
        <v>958</v>
      </c>
      <c r="G343" s="19" t="s">
        <v>862</v>
      </c>
      <c r="H343" s="19" t="s">
        <v>333</v>
      </c>
      <c r="I343" s="19" t="s">
        <v>35</v>
      </c>
      <c r="J343" s="19" t="s">
        <v>1057</v>
      </c>
      <c r="K343" s="0" t="n">
        <v>1</v>
      </c>
      <c r="L343" s="20" t="n">
        <v>3872.8</v>
      </c>
      <c r="M343" s="20" t="n">
        <v>2567.33</v>
      </c>
      <c r="N343" s="20" t="n">
        <v>3872.8</v>
      </c>
      <c r="O343" s="20" t="n">
        <v>2567.33</v>
      </c>
      <c r="P343" s="20" t="n">
        <v>1305.47</v>
      </c>
      <c r="Q343" s="21" t="n">
        <v>0.3371</v>
      </c>
      <c r="R343" s="19" t="s">
        <v>1147</v>
      </c>
    </row>
    <row r="344" customFormat="false" ht="15" hidden="false" customHeight="false" outlineLevel="0" collapsed="false">
      <c r="A344" s="0" t="n">
        <v>343</v>
      </c>
      <c r="B344" s="18" t="n">
        <v>45531</v>
      </c>
      <c r="C344" s="0" t="n">
        <v>2024</v>
      </c>
      <c r="D344" s="0" t="n">
        <v>8</v>
      </c>
      <c r="E344" s="19" t="s">
        <v>782</v>
      </c>
      <c r="F344" s="19" t="s">
        <v>588</v>
      </c>
      <c r="G344" s="19" t="s">
        <v>1152</v>
      </c>
      <c r="H344" s="19" t="s">
        <v>333</v>
      </c>
      <c r="I344" s="19" t="s">
        <v>54</v>
      </c>
      <c r="J344" s="19" t="s">
        <v>1155</v>
      </c>
      <c r="K344" s="0" t="n">
        <v>1</v>
      </c>
      <c r="L344" s="20" t="n">
        <v>705.58</v>
      </c>
      <c r="M344" s="20" t="n">
        <v>447.56</v>
      </c>
      <c r="N344" s="20" t="n">
        <v>705.58</v>
      </c>
      <c r="O344" s="20" t="n">
        <v>447.56</v>
      </c>
      <c r="P344" s="20" t="n">
        <v>258.02</v>
      </c>
      <c r="Q344" s="21" t="n">
        <v>0.3657</v>
      </c>
      <c r="R344" s="19" t="s">
        <v>1145</v>
      </c>
    </row>
    <row r="345" customFormat="false" ht="15" hidden="false" customHeight="false" outlineLevel="0" collapsed="false">
      <c r="A345" s="0" t="n">
        <v>344</v>
      </c>
      <c r="B345" s="18" t="n">
        <v>45532</v>
      </c>
      <c r="C345" s="0" t="n">
        <v>2024</v>
      </c>
      <c r="D345" s="0" t="n">
        <v>8</v>
      </c>
      <c r="E345" s="19" t="s">
        <v>204</v>
      </c>
      <c r="F345" s="19" t="s">
        <v>853</v>
      </c>
      <c r="G345" s="19" t="s">
        <v>1148</v>
      </c>
      <c r="H345" s="19" t="s">
        <v>333</v>
      </c>
      <c r="I345" s="19" t="s">
        <v>35</v>
      </c>
      <c r="J345" s="19" t="s">
        <v>716</v>
      </c>
      <c r="K345" s="0" t="n">
        <v>1</v>
      </c>
      <c r="L345" s="20" t="n">
        <v>2373.01</v>
      </c>
      <c r="M345" s="20" t="n">
        <v>1789.85</v>
      </c>
      <c r="N345" s="20" t="n">
        <v>2373.01</v>
      </c>
      <c r="O345" s="20" t="n">
        <v>1789.85</v>
      </c>
      <c r="P345" s="20" t="n">
        <v>583.16</v>
      </c>
      <c r="Q345" s="21" t="n">
        <v>0.2457</v>
      </c>
      <c r="R345" s="19" t="s">
        <v>1149</v>
      </c>
    </row>
    <row r="346" customFormat="false" ht="15" hidden="false" customHeight="false" outlineLevel="0" collapsed="false">
      <c r="A346" s="0" t="n">
        <v>345</v>
      </c>
      <c r="B346" s="18" t="n">
        <v>45532</v>
      </c>
      <c r="C346" s="0" t="n">
        <v>2024</v>
      </c>
      <c r="D346" s="0" t="n">
        <v>8</v>
      </c>
      <c r="E346" s="19" t="s">
        <v>937</v>
      </c>
      <c r="F346" s="19" t="s">
        <v>958</v>
      </c>
      <c r="G346" s="19" t="s">
        <v>902</v>
      </c>
      <c r="H346" s="19" t="s">
        <v>362</v>
      </c>
      <c r="I346" s="19" t="s">
        <v>54</v>
      </c>
      <c r="J346" s="19" t="s">
        <v>831</v>
      </c>
      <c r="K346" s="0" t="n">
        <v>1</v>
      </c>
      <c r="L346" s="20" t="n">
        <v>3602.01</v>
      </c>
      <c r="M346" s="20" t="n">
        <v>2580.7</v>
      </c>
      <c r="N346" s="20" t="n">
        <v>3602.01</v>
      </c>
      <c r="O346" s="20" t="n">
        <v>2580.7</v>
      </c>
      <c r="P346" s="20" t="n">
        <v>1021.31</v>
      </c>
      <c r="Q346" s="21" t="n">
        <v>0.2835</v>
      </c>
      <c r="R346" s="19" t="s">
        <v>1147</v>
      </c>
    </row>
    <row r="347" customFormat="false" ht="15" hidden="false" customHeight="false" outlineLevel="0" collapsed="false">
      <c r="A347" s="0" t="n">
        <v>346</v>
      </c>
      <c r="B347" s="18" t="n">
        <v>45533</v>
      </c>
      <c r="C347" s="0" t="n">
        <v>2024</v>
      </c>
      <c r="D347" s="0" t="n">
        <v>8</v>
      </c>
      <c r="E347" s="19" t="s">
        <v>782</v>
      </c>
      <c r="F347" s="19" t="s">
        <v>588</v>
      </c>
      <c r="G347" s="19" t="s">
        <v>1151</v>
      </c>
      <c r="H347" s="19" t="s">
        <v>333</v>
      </c>
      <c r="I347" s="19" t="s">
        <v>54</v>
      </c>
      <c r="J347" s="19" t="s">
        <v>831</v>
      </c>
      <c r="K347" s="0" t="n">
        <v>2</v>
      </c>
      <c r="L347" s="20" t="n">
        <v>678.42</v>
      </c>
      <c r="M347" s="20" t="n">
        <v>446.85</v>
      </c>
      <c r="N347" s="20" t="n">
        <v>1356.84</v>
      </c>
      <c r="O347" s="20" t="n">
        <v>893.7</v>
      </c>
      <c r="P347" s="20" t="n">
        <v>463.14</v>
      </c>
      <c r="Q347" s="21" t="n">
        <v>0.3413</v>
      </c>
      <c r="R347" s="19" t="s">
        <v>1149</v>
      </c>
    </row>
    <row r="348" customFormat="false" ht="15" hidden="false" customHeight="false" outlineLevel="0" collapsed="false">
      <c r="A348" s="0" t="n">
        <v>347</v>
      </c>
      <c r="B348" s="18" t="n">
        <v>45534</v>
      </c>
      <c r="C348" s="0" t="n">
        <v>2024</v>
      </c>
      <c r="D348" s="0" t="n">
        <v>8</v>
      </c>
      <c r="E348" s="19" t="s">
        <v>782</v>
      </c>
      <c r="F348" s="19" t="s">
        <v>588</v>
      </c>
      <c r="G348" s="19" t="s">
        <v>1152</v>
      </c>
      <c r="H348" s="19" t="s">
        <v>362</v>
      </c>
      <c r="I348" s="19" t="s">
        <v>35</v>
      </c>
      <c r="J348" s="19" t="s">
        <v>1048</v>
      </c>
      <c r="K348" s="0" t="n">
        <v>1</v>
      </c>
      <c r="L348" s="20" t="n">
        <v>293.49</v>
      </c>
      <c r="M348" s="20" t="n">
        <v>177.79</v>
      </c>
      <c r="N348" s="20" t="n">
        <v>293.49</v>
      </c>
      <c r="O348" s="20" t="n">
        <v>177.79</v>
      </c>
      <c r="P348" s="20" t="n">
        <v>115.7</v>
      </c>
      <c r="Q348" s="21" t="n">
        <v>0.3942</v>
      </c>
      <c r="R348" s="19" t="s">
        <v>1145</v>
      </c>
    </row>
    <row r="349" customFormat="false" ht="15" hidden="false" customHeight="false" outlineLevel="0" collapsed="false">
      <c r="A349" s="0" t="n">
        <v>348</v>
      </c>
      <c r="B349" s="18" t="n">
        <v>45534</v>
      </c>
      <c r="C349" s="0" t="n">
        <v>2024</v>
      </c>
      <c r="D349" s="0" t="n">
        <v>8</v>
      </c>
      <c r="E349" s="19" t="s">
        <v>268</v>
      </c>
      <c r="F349" s="19" t="s">
        <v>588</v>
      </c>
      <c r="G349" s="19" t="s">
        <v>1151</v>
      </c>
      <c r="H349" s="19" t="s">
        <v>362</v>
      </c>
      <c r="I349" s="19" t="s">
        <v>54</v>
      </c>
      <c r="J349" s="19" t="s">
        <v>1048</v>
      </c>
      <c r="K349" s="0" t="n">
        <v>2</v>
      </c>
      <c r="L349" s="20" t="n">
        <v>83.89</v>
      </c>
      <c r="M349" s="20" t="n">
        <v>58.09</v>
      </c>
      <c r="N349" s="20" t="n">
        <v>167.78</v>
      </c>
      <c r="O349" s="20" t="n">
        <v>116.18</v>
      </c>
      <c r="P349" s="20" t="n">
        <v>51.6</v>
      </c>
      <c r="Q349" s="21" t="n">
        <v>0.3075</v>
      </c>
      <c r="R349" s="19" t="s">
        <v>1145</v>
      </c>
    </row>
    <row r="350" customFormat="false" ht="15" hidden="false" customHeight="false" outlineLevel="0" collapsed="false">
      <c r="A350" s="0" t="n">
        <v>349</v>
      </c>
      <c r="B350" s="18" t="n">
        <v>45535</v>
      </c>
      <c r="C350" s="0" t="n">
        <v>2024</v>
      </c>
      <c r="D350" s="0" t="n">
        <v>8</v>
      </c>
      <c r="E350" s="19" t="s">
        <v>782</v>
      </c>
      <c r="F350" s="19" t="s">
        <v>958</v>
      </c>
      <c r="G350" s="19" t="s">
        <v>1150</v>
      </c>
      <c r="H350" s="19" t="s">
        <v>333</v>
      </c>
      <c r="I350" s="19" t="s">
        <v>35</v>
      </c>
      <c r="J350" s="19" t="s">
        <v>1048</v>
      </c>
      <c r="K350" s="0" t="n">
        <v>2</v>
      </c>
      <c r="L350" s="20" t="n">
        <v>1777.43</v>
      </c>
      <c r="M350" s="20" t="n">
        <v>1124.99</v>
      </c>
      <c r="N350" s="20" t="n">
        <v>3554.86</v>
      </c>
      <c r="O350" s="20" t="n">
        <v>2249.98</v>
      </c>
      <c r="P350" s="20" t="n">
        <v>1304.88</v>
      </c>
      <c r="Q350" s="21" t="n">
        <v>0.3671</v>
      </c>
      <c r="R350" s="19" t="s">
        <v>1147</v>
      </c>
    </row>
    <row r="351" customFormat="false" ht="15" hidden="false" customHeight="false" outlineLevel="0" collapsed="false">
      <c r="A351" s="0" t="n">
        <v>350</v>
      </c>
      <c r="B351" s="18" t="n">
        <v>45537</v>
      </c>
      <c r="C351" s="0" t="n">
        <v>2024</v>
      </c>
      <c r="D351" s="0" t="n">
        <v>9</v>
      </c>
      <c r="E351" s="19" t="s">
        <v>268</v>
      </c>
      <c r="F351" s="19" t="s">
        <v>960</v>
      </c>
      <c r="G351" s="19" t="s">
        <v>1146</v>
      </c>
      <c r="H351" s="19" t="s">
        <v>333</v>
      </c>
      <c r="I351" s="19" t="s">
        <v>35</v>
      </c>
      <c r="J351" s="19" t="s">
        <v>1156</v>
      </c>
      <c r="K351" s="0" t="n">
        <v>1</v>
      </c>
      <c r="L351" s="20" t="n">
        <v>4029.89</v>
      </c>
      <c r="M351" s="20" t="n">
        <v>2900.34</v>
      </c>
      <c r="N351" s="20" t="n">
        <v>4029.89</v>
      </c>
      <c r="O351" s="20" t="n">
        <v>2900.34</v>
      </c>
      <c r="P351" s="20" t="n">
        <v>1129.55</v>
      </c>
      <c r="Q351" s="21" t="n">
        <v>0.2803</v>
      </c>
      <c r="R351" s="19" t="s">
        <v>1147</v>
      </c>
    </row>
    <row r="352" customFormat="false" ht="15" hidden="false" customHeight="false" outlineLevel="0" collapsed="false">
      <c r="A352" s="0" t="n">
        <v>351</v>
      </c>
      <c r="B352" s="18" t="n">
        <v>45542</v>
      </c>
      <c r="C352" s="0" t="n">
        <v>2024</v>
      </c>
      <c r="D352" s="0" t="n">
        <v>9</v>
      </c>
      <c r="E352" s="19" t="s">
        <v>782</v>
      </c>
      <c r="F352" s="19" t="s">
        <v>698</v>
      </c>
      <c r="G352" s="19" t="s">
        <v>1157</v>
      </c>
      <c r="H352" s="19" t="s">
        <v>333</v>
      </c>
      <c r="I352" s="19" t="s">
        <v>35</v>
      </c>
      <c r="J352" s="19" t="s">
        <v>180</v>
      </c>
      <c r="K352" s="0" t="n">
        <v>1</v>
      </c>
      <c r="L352" s="20" t="n">
        <v>271.31</v>
      </c>
      <c r="M352" s="20" t="n">
        <v>189.69</v>
      </c>
      <c r="N352" s="20" t="n">
        <v>271.31</v>
      </c>
      <c r="O352" s="20" t="n">
        <v>189.69</v>
      </c>
      <c r="P352" s="20" t="n">
        <v>81.62</v>
      </c>
      <c r="Q352" s="21" t="n">
        <v>0.3008</v>
      </c>
      <c r="R352" s="19" t="s">
        <v>1145</v>
      </c>
    </row>
    <row r="353" customFormat="false" ht="15" hidden="false" customHeight="false" outlineLevel="0" collapsed="false">
      <c r="A353" s="0" t="n">
        <v>352</v>
      </c>
      <c r="B353" s="18" t="n">
        <v>45546</v>
      </c>
      <c r="C353" s="0" t="n">
        <v>2024</v>
      </c>
      <c r="D353" s="0" t="n">
        <v>9</v>
      </c>
      <c r="E353" s="19" t="s">
        <v>937</v>
      </c>
      <c r="F353" s="19" t="s">
        <v>588</v>
      </c>
      <c r="G353" s="19" t="s">
        <v>1152</v>
      </c>
      <c r="H353" s="19" t="s">
        <v>333</v>
      </c>
      <c r="I353" s="19" t="s">
        <v>35</v>
      </c>
      <c r="J353" s="19" t="s">
        <v>1155</v>
      </c>
      <c r="K353" s="0" t="n">
        <v>1</v>
      </c>
      <c r="L353" s="20" t="n">
        <v>308.46</v>
      </c>
      <c r="M353" s="20" t="n">
        <v>236.92</v>
      </c>
      <c r="N353" s="20" t="n">
        <v>308.46</v>
      </c>
      <c r="O353" s="20" t="n">
        <v>236.92</v>
      </c>
      <c r="P353" s="20" t="n">
        <v>71.54</v>
      </c>
      <c r="Q353" s="21" t="n">
        <v>0.2319</v>
      </c>
      <c r="R353" s="19" t="s">
        <v>1145</v>
      </c>
    </row>
    <row r="354" customFormat="false" ht="15" hidden="false" customHeight="false" outlineLevel="0" collapsed="false">
      <c r="A354" s="0" t="n">
        <v>353</v>
      </c>
      <c r="B354" s="18" t="n">
        <v>45547</v>
      </c>
      <c r="C354" s="0" t="n">
        <v>2024</v>
      </c>
      <c r="D354" s="0" t="n">
        <v>9</v>
      </c>
      <c r="E354" s="19" t="s">
        <v>782</v>
      </c>
      <c r="F354" s="19" t="s">
        <v>853</v>
      </c>
      <c r="G354" s="19" t="s">
        <v>1148</v>
      </c>
      <c r="H354" s="19" t="s">
        <v>333</v>
      </c>
      <c r="I354" s="19" t="s">
        <v>35</v>
      </c>
      <c r="J354" s="19" t="s">
        <v>586</v>
      </c>
      <c r="K354" s="0" t="n">
        <v>2</v>
      </c>
      <c r="L354" s="20" t="n">
        <v>2521.79</v>
      </c>
      <c r="M354" s="20" t="n">
        <v>1519.4</v>
      </c>
      <c r="N354" s="20" t="n">
        <v>5043.58</v>
      </c>
      <c r="O354" s="20" t="n">
        <v>3038.8</v>
      </c>
      <c r="P354" s="20" t="n">
        <v>2004.78</v>
      </c>
      <c r="Q354" s="21" t="n">
        <v>0.3975</v>
      </c>
      <c r="R354" s="19" t="s">
        <v>1147</v>
      </c>
    </row>
    <row r="355" customFormat="false" ht="15" hidden="false" customHeight="false" outlineLevel="0" collapsed="false">
      <c r="A355" s="0" t="n">
        <v>354</v>
      </c>
      <c r="B355" s="18" t="n">
        <v>45548</v>
      </c>
      <c r="C355" s="0" t="n">
        <v>2024</v>
      </c>
      <c r="D355" s="0" t="n">
        <v>9</v>
      </c>
      <c r="E355" s="19" t="s">
        <v>782</v>
      </c>
      <c r="F355" s="19" t="s">
        <v>698</v>
      </c>
      <c r="G355" s="19" t="s">
        <v>774</v>
      </c>
      <c r="H355" s="19" t="s">
        <v>333</v>
      </c>
      <c r="I355" s="19" t="s">
        <v>35</v>
      </c>
      <c r="J355" s="19" t="s">
        <v>741</v>
      </c>
      <c r="K355" s="0" t="n">
        <v>2</v>
      </c>
      <c r="L355" s="20" t="n">
        <v>174.92</v>
      </c>
      <c r="M355" s="20" t="n">
        <v>112.07</v>
      </c>
      <c r="N355" s="20" t="n">
        <v>349.84</v>
      </c>
      <c r="O355" s="20" t="n">
        <v>224.14</v>
      </c>
      <c r="P355" s="20" t="n">
        <v>125.7</v>
      </c>
      <c r="Q355" s="21" t="n">
        <v>0.3593</v>
      </c>
      <c r="R355" s="19" t="s">
        <v>1145</v>
      </c>
    </row>
    <row r="356" customFormat="false" ht="15" hidden="false" customHeight="false" outlineLevel="0" collapsed="false">
      <c r="A356" s="0" t="n">
        <v>355</v>
      </c>
      <c r="B356" s="18" t="n">
        <v>45549</v>
      </c>
      <c r="C356" s="0" t="n">
        <v>2024</v>
      </c>
      <c r="D356" s="0" t="n">
        <v>9</v>
      </c>
      <c r="E356" s="19" t="s">
        <v>782</v>
      </c>
      <c r="F356" s="19" t="s">
        <v>588</v>
      </c>
      <c r="G356" s="19" t="s">
        <v>1153</v>
      </c>
      <c r="H356" s="19" t="s">
        <v>333</v>
      </c>
      <c r="I356" s="19" t="s">
        <v>35</v>
      </c>
      <c r="J356" s="19" t="s">
        <v>180</v>
      </c>
      <c r="K356" s="0" t="n">
        <v>1</v>
      </c>
      <c r="L356" s="20" t="n">
        <v>894.56</v>
      </c>
      <c r="M356" s="20" t="n">
        <v>504.78</v>
      </c>
      <c r="N356" s="20" t="n">
        <v>894.56</v>
      </c>
      <c r="O356" s="20" t="n">
        <v>504.78</v>
      </c>
      <c r="P356" s="20" t="n">
        <v>389.78</v>
      </c>
      <c r="Q356" s="21" t="n">
        <v>0.4357</v>
      </c>
      <c r="R356" s="19" t="s">
        <v>1145</v>
      </c>
    </row>
    <row r="357" customFormat="false" ht="15" hidden="false" customHeight="false" outlineLevel="0" collapsed="false">
      <c r="A357" s="0" t="n">
        <v>356</v>
      </c>
      <c r="B357" s="18" t="n">
        <v>45552</v>
      </c>
      <c r="C357" s="0" t="n">
        <v>2024</v>
      </c>
      <c r="D357" s="0" t="n">
        <v>9</v>
      </c>
      <c r="E357" s="19" t="s">
        <v>782</v>
      </c>
      <c r="F357" s="19" t="s">
        <v>958</v>
      </c>
      <c r="G357" s="19" t="s">
        <v>1150</v>
      </c>
      <c r="H357" s="19" t="s">
        <v>333</v>
      </c>
      <c r="I357" s="19" t="s">
        <v>35</v>
      </c>
      <c r="J357" s="19" t="s">
        <v>1048</v>
      </c>
      <c r="K357" s="0" t="n">
        <v>1</v>
      </c>
      <c r="L357" s="20" t="n">
        <v>2789.82</v>
      </c>
      <c r="M357" s="20" t="n">
        <v>2164.6</v>
      </c>
      <c r="N357" s="20" t="n">
        <v>2789.82</v>
      </c>
      <c r="O357" s="20" t="n">
        <v>2164.6</v>
      </c>
      <c r="P357" s="20" t="n">
        <v>625.22</v>
      </c>
      <c r="Q357" s="21" t="n">
        <v>0.2241</v>
      </c>
      <c r="R357" s="19" t="s">
        <v>1149</v>
      </c>
    </row>
    <row r="358" customFormat="false" ht="15" hidden="false" customHeight="false" outlineLevel="0" collapsed="false">
      <c r="A358" s="0" t="n">
        <v>357</v>
      </c>
      <c r="B358" s="18" t="n">
        <v>45553</v>
      </c>
      <c r="C358" s="0" t="n">
        <v>2024</v>
      </c>
      <c r="D358" s="0" t="n">
        <v>9</v>
      </c>
      <c r="E358" s="19" t="s">
        <v>268</v>
      </c>
      <c r="F358" s="19" t="s">
        <v>958</v>
      </c>
      <c r="G358" s="19" t="s">
        <v>902</v>
      </c>
      <c r="H358" s="19" t="s">
        <v>362</v>
      </c>
      <c r="I358" s="19" t="s">
        <v>35</v>
      </c>
      <c r="J358" s="19" t="s">
        <v>1057</v>
      </c>
      <c r="K358" s="0" t="n">
        <v>1</v>
      </c>
      <c r="L358" s="20" t="n">
        <v>3659.12</v>
      </c>
      <c r="M358" s="20" t="n">
        <v>2728.83</v>
      </c>
      <c r="N358" s="20" t="n">
        <v>3659.12</v>
      </c>
      <c r="O358" s="20" t="n">
        <v>2728.83</v>
      </c>
      <c r="P358" s="20" t="n">
        <v>930.29</v>
      </c>
      <c r="Q358" s="21" t="n">
        <v>0.2542</v>
      </c>
      <c r="R358" s="19" t="s">
        <v>1147</v>
      </c>
    </row>
    <row r="359" customFormat="false" ht="15" hidden="false" customHeight="false" outlineLevel="0" collapsed="false">
      <c r="A359" s="0" t="n">
        <v>358</v>
      </c>
      <c r="B359" s="18" t="n">
        <v>45553</v>
      </c>
      <c r="C359" s="0" t="n">
        <v>2024</v>
      </c>
      <c r="D359" s="0" t="n">
        <v>9</v>
      </c>
      <c r="E359" s="19" t="s">
        <v>782</v>
      </c>
      <c r="F359" s="19" t="s">
        <v>698</v>
      </c>
      <c r="G359" s="19" t="s">
        <v>1163</v>
      </c>
      <c r="H359" s="19" t="s">
        <v>362</v>
      </c>
      <c r="I359" s="19" t="s">
        <v>35</v>
      </c>
      <c r="J359" s="19" t="s">
        <v>1067</v>
      </c>
      <c r="K359" s="0" t="n">
        <v>2</v>
      </c>
      <c r="L359" s="20" t="n">
        <v>272.57</v>
      </c>
      <c r="M359" s="20" t="n">
        <v>191.34</v>
      </c>
      <c r="N359" s="20" t="n">
        <v>545.14</v>
      </c>
      <c r="O359" s="20" t="n">
        <v>382.68</v>
      </c>
      <c r="P359" s="20" t="n">
        <v>162.46</v>
      </c>
      <c r="Q359" s="21" t="n">
        <v>0.298</v>
      </c>
      <c r="R359" s="19" t="s">
        <v>1145</v>
      </c>
    </row>
    <row r="360" customFormat="false" ht="15" hidden="false" customHeight="false" outlineLevel="0" collapsed="false">
      <c r="A360" s="0" t="n">
        <v>359</v>
      </c>
      <c r="B360" s="18" t="n">
        <v>45555</v>
      </c>
      <c r="C360" s="0" t="n">
        <v>2024</v>
      </c>
      <c r="D360" s="0" t="n">
        <v>9</v>
      </c>
      <c r="E360" s="19" t="s">
        <v>204</v>
      </c>
      <c r="F360" s="19" t="s">
        <v>588</v>
      </c>
      <c r="G360" s="19" t="s">
        <v>1151</v>
      </c>
      <c r="H360" s="19" t="s">
        <v>362</v>
      </c>
      <c r="I360" s="19" t="s">
        <v>54</v>
      </c>
      <c r="J360" s="19" t="s">
        <v>1067</v>
      </c>
      <c r="K360" s="0" t="n">
        <v>1</v>
      </c>
      <c r="L360" s="20" t="n">
        <v>248.31</v>
      </c>
      <c r="M360" s="20" t="n">
        <v>167.8</v>
      </c>
      <c r="N360" s="20" t="n">
        <v>248.31</v>
      </c>
      <c r="O360" s="20" t="n">
        <v>167.8</v>
      </c>
      <c r="P360" s="20" t="n">
        <v>80.51</v>
      </c>
      <c r="Q360" s="21" t="n">
        <v>0.3242</v>
      </c>
      <c r="R360" s="19" t="s">
        <v>1145</v>
      </c>
    </row>
    <row r="361" customFormat="false" ht="15" hidden="false" customHeight="false" outlineLevel="0" collapsed="false">
      <c r="A361" s="0" t="n">
        <v>360</v>
      </c>
      <c r="B361" s="18" t="n">
        <v>45560</v>
      </c>
      <c r="C361" s="0" t="n">
        <v>2024</v>
      </c>
      <c r="D361" s="0" t="n">
        <v>9</v>
      </c>
      <c r="E361" s="19" t="s">
        <v>782</v>
      </c>
      <c r="F361" s="19" t="s">
        <v>698</v>
      </c>
      <c r="G361" s="19" t="s">
        <v>1157</v>
      </c>
      <c r="H361" s="19" t="s">
        <v>362</v>
      </c>
      <c r="I361" s="19" t="s">
        <v>35</v>
      </c>
      <c r="J361" s="19" t="s">
        <v>758</v>
      </c>
      <c r="K361" s="0" t="n">
        <v>1</v>
      </c>
      <c r="L361" s="20" t="n">
        <v>78.19</v>
      </c>
      <c r="M361" s="20" t="n">
        <v>43.85</v>
      </c>
      <c r="N361" s="20" t="n">
        <v>78.19</v>
      </c>
      <c r="O361" s="20" t="n">
        <v>43.85</v>
      </c>
      <c r="P361" s="20" t="n">
        <v>34.34</v>
      </c>
      <c r="Q361" s="21" t="n">
        <v>0.4392</v>
      </c>
      <c r="R361" s="19" t="s">
        <v>1145</v>
      </c>
    </row>
    <row r="362" customFormat="false" ht="15" hidden="false" customHeight="false" outlineLevel="0" collapsed="false">
      <c r="A362" s="0" t="n">
        <v>361</v>
      </c>
      <c r="B362" s="18" t="n">
        <v>45560</v>
      </c>
      <c r="C362" s="0" t="n">
        <v>2024</v>
      </c>
      <c r="D362" s="0" t="n">
        <v>9</v>
      </c>
      <c r="E362" s="19" t="s">
        <v>685</v>
      </c>
      <c r="F362" s="19" t="s">
        <v>588</v>
      </c>
      <c r="G362" s="19" t="s">
        <v>1152</v>
      </c>
      <c r="H362" s="19" t="s">
        <v>362</v>
      </c>
      <c r="I362" s="19" t="s">
        <v>54</v>
      </c>
      <c r="J362" s="19" t="s">
        <v>1161</v>
      </c>
      <c r="K362" s="0" t="n">
        <v>1</v>
      </c>
      <c r="L362" s="20" t="n">
        <v>759.12</v>
      </c>
      <c r="M362" s="20" t="n">
        <v>519.86</v>
      </c>
      <c r="N362" s="20" t="n">
        <v>759.12</v>
      </c>
      <c r="O362" s="20" t="n">
        <v>519.86</v>
      </c>
      <c r="P362" s="20" t="n">
        <v>239.26</v>
      </c>
      <c r="Q362" s="21" t="n">
        <v>0.3152</v>
      </c>
      <c r="R362" s="19" t="s">
        <v>1145</v>
      </c>
    </row>
    <row r="363" customFormat="false" ht="15" hidden="false" customHeight="false" outlineLevel="0" collapsed="false">
      <c r="A363" s="0" t="n">
        <v>362</v>
      </c>
      <c r="B363" s="18" t="n">
        <v>45565</v>
      </c>
      <c r="C363" s="0" t="n">
        <v>2024</v>
      </c>
      <c r="D363" s="0" t="n">
        <v>9</v>
      </c>
      <c r="E363" s="19" t="s">
        <v>204</v>
      </c>
      <c r="F363" s="19" t="s">
        <v>960</v>
      </c>
      <c r="G363" s="19" t="s">
        <v>1146</v>
      </c>
      <c r="H363" s="19" t="s">
        <v>362</v>
      </c>
      <c r="I363" s="19" t="s">
        <v>35</v>
      </c>
      <c r="J363" s="19" t="s">
        <v>613</v>
      </c>
      <c r="K363" s="0" t="n">
        <v>2</v>
      </c>
      <c r="L363" s="20" t="n">
        <v>6511.76</v>
      </c>
      <c r="M363" s="20" t="n">
        <v>4576.81</v>
      </c>
      <c r="N363" s="20" t="n">
        <v>13023.52</v>
      </c>
      <c r="O363" s="20" t="n">
        <v>9153.62</v>
      </c>
      <c r="P363" s="20" t="n">
        <v>3869.9</v>
      </c>
      <c r="Q363" s="21" t="n">
        <v>0.2971</v>
      </c>
      <c r="R363" s="19" t="s">
        <v>1147</v>
      </c>
    </row>
    <row r="364" customFormat="false" ht="15" hidden="false" customHeight="false" outlineLevel="0" collapsed="false">
      <c r="A364" s="0" t="n">
        <v>363</v>
      </c>
      <c r="B364" s="18" t="n">
        <v>45565</v>
      </c>
      <c r="C364" s="0" t="n">
        <v>2024</v>
      </c>
      <c r="D364" s="0" t="n">
        <v>9</v>
      </c>
      <c r="E364" s="19" t="s">
        <v>782</v>
      </c>
      <c r="F364" s="19" t="s">
        <v>960</v>
      </c>
      <c r="G364" s="19" t="s">
        <v>1162</v>
      </c>
      <c r="H364" s="19" t="s">
        <v>362</v>
      </c>
      <c r="I364" s="19" t="s">
        <v>35</v>
      </c>
      <c r="J364" s="19" t="s">
        <v>1067</v>
      </c>
      <c r="K364" s="0" t="n">
        <v>1</v>
      </c>
      <c r="L364" s="20" t="n">
        <v>7151.35</v>
      </c>
      <c r="M364" s="20" t="n">
        <v>5319.38</v>
      </c>
      <c r="N364" s="20" t="n">
        <v>7151.35</v>
      </c>
      <c r="O364" s="20" t="n">
        <v>5319.38</v>
      </c>
      <c r="P364" s="20" t="n">
        <v>1831.97</v>
      </c>
      <c r="Q364" s="21" t="n">
        <v>0.2562</v>
      </c>
      <c r="R364" s="19" t="s">
        <v>1147</v>
      </c>
    </row>
    <row r="365" customFormat="false" ht="15" hidden="false" customHeight="false" outlineLevel="0" collapsed="false">
      <c r="A365" s="0" t="n">
        <v>364</v>
      </c>
      <c r="B365" s="18" t="n">
        <v>45568</v>
      </c>
      <c r="C365" s="0" t="n">
        <v>2024</v>
      </c>
      <c r="D365" s="0" t="n">
        <v>10</v>
      </c>
      <c r="E365" s="19" t="s">
        <v>782</v>
      </c>
      <c r="F365" s="19" t="s">
        <v>958</v>
      </c>
      <c r="G365" s="19" t="s">
        <v>862</v>
      </c>
      <c r="H365" s="19" t="s">
        <v>333</v>
      </c>
      <c r="I365" s="19" t="s">
        <v>35</v>
      </c>
      <c r="J365" s="19" t="s">
        <v>377</v>
      </c>
      <c r="K365" s="0" t="n">
        <v>1</v>
      </c>
      <c r="L365" s="20" t="n">
        <v>4137.05</v>
      </c>
      <c r="M365" s="20" t="n">
        <v>2742.51</v>
      </c>
      <c r="N365" s="20" t="n">
        <v>4137.05</v>
      </c>
      <c r="O365" s="20" t="n">
        <v>2742.51</v>
      </c>
      <c r="P365" s="20" t="n">
        <v>1394.54</v>
      </c>
      <c r="Q365" s="21" t="n">
        <v>0.3371</v>
      </c>
      <c r="R365" s="19" t="s">
        <v>1147</v>
      </c>
    </row>
    <row r="366" customFormat="false" ht="15" hidden="false" customHeight="false" outlineLevel="0" collapsed="false">
      <c r="A366" s="0" t="n">
        <v>365</v>
      </c>
      <c r="B366" s="18" t="n">
        <v>45577</v>
      </c>
      <c r="C366" s="0" t="n">
        <v>2024</v>
      </c>
      <c r="D366" s="0" t="n">
        <v>10</v>
      </c>
      <c r="E366" s="19" t="s">
        <v>782</v>
      </c>
      <c r="F366" s="19" t="s">
        <v>958</v>
      </c>
      <c r="G366" s="19" t="s">
        <v>572</v>
      </c>
      <c r="H366" s="19" t="s">
        <v>333</v>
      </c>
      <c r="I366" s="19" t="s">
        <v>54</v>
      </c>
      <c r="J366" s="19" t="s">
        <v>807</v>
      </c>
      <c r="K366" s="0" t="n">
        <v>1</v>
      </c>
      <c r="L366" s="20" t="n">
        <v>2276.59</v>
      </c>
      <c r="M366" s="20" t="n">
        <v>1467.99</v>
      </c>
      <c r="N366" s="20" t="n">
        <v>2276.59</v>
      </c>
      <c r="O366" s="20" t="n">
        <v>1467.99</v>
      </c>
      <c r="P366" s="20" t="n">
        <v>808.6</v>
      </c>
      <c r="Q366" s="21" t="n">
        <v>0.3552</v>
      </c>
      <c r="R366" s="19" t="s">
        <v>1149</v>
      </c>
    </row>
    <row r="367" customFormat="false" ht="15" hidden="false" customHeight="false" outlineLevel="0" collapsed="false">
      <c r="A367" s="0" t="n">
        <v>366</v>
      </c>
      <c r="B367" s="18" t="n">
        <v>45577</v>
      </c>
      <c r="C367" s="0" t="n">
        <v>2024</v>
      </c>
      <c r="D367" s="0" t="n">
        <v>10</v>
      </c>
      <c r="E367" s="19" t="s">
        <v>204</v>
      </c>
      <c r="F367" s="19" t="s">
        <v>588</v>
      </c>
      <c r="G367" s="19" t="s">
        <v>1153</v>
      </c>
      <c r="H367" s="19" t="s">
        <v>362</v>
      </c>
      <c r="I367" s="19" t="s">
        <v>35</v>
      </c>
      <c r="J367" s="19" t="s">
        <v>1054</v>
      </c>
      <c r="K367" s="0" t="n">
        <v>1</v>
      </c>
      <c r="L367" s="20" t="n">
        <v>892.03</v>
      </c>
      <c r="M367" s="20" t="n">
        <v>621.72</v>
      </c>
      <c r="N367" s="20" t="n">
        <v>892.03</v>
      </c>
      <c r="O367" s="20" t="n">
        <v>621.72</v>
      </c>
      <c r="P367" s="20" t="n">
        <v>270.31</v>
      </c>
      <c r="Q367" s="21" t="n">
        <v>0.303</v>
      </c>
      <c r="R367" s="19" t="s">
        <v>1145</v>
      </c>
    </row>
    <row r="368" customFormat="false" ht="15" hidden="false" customHeight="false" outlineLevel="0" collapsed="false">
      <c r="A368" s="0" t="n">
        <v>367</v>
      </c>
      <c r="B368" s="18" t="n">
        <v>45578</v>
      </c>
      <c r="C368" s="0" t="n">
        <v>2024</v>
      </c>
      <c r="D368" s="0" t="n">
        <v>10</v>
      </c>
      <c r="E368" s="19" t="s">
        <v>782</v>
      </c>
      <c r="F368" s="19" t="s">
        <v>698</v>
      </c>
      <c r="G368" s="19" t="s">
        <v>252</v>
      </c>
      <c r="H368" s="19" t="s">
        <v>362</v>
      </c>
      <c r="I368" s="19" t="s">
        <v>35</v>
      </c>
      <c r="J368" s="19" t="s">
        <v>1161</v>
      </c>
      <c r="K368" s="0" t="n">
        <v>1</v>
      </c>
      <c r="L368" s="20" t="n">
        <v>307.38</v>
      </c>
      <c r="M368" s="20" t="n">
        <v>220.84</v>
      </c>
      <c r="N368" s="20" t="n">
        <v>307.38</v>
      </c>
      <c r="O368" s="20" t="n">
        <v>220.84</v>
      </c>
      <c r="P368" s="20" t="n">
        <v>86.54</v>
      </c>
      <c r="Q368" s="21" t="n">
        <v>0.2815</v>
      </c>
      <c r="R368" s="19" t="s">
        <v>1145</v>
      </c>
    </row>
    <row r="369" customFormat="false" ht="15" hidden="false" customHeight="false" outlineLevel="0" collapsed="false">
      <c r="A369" s="0" t="n">
        <v>368</v>
      </c>
      <c r="B369" s="18" t="n">
        <v>45579</v>
      </c>
      <c r="C369" s="0" t="n">
        <v>2024</v>
      </c>
      <c r="D369" s="0" t="n">
        <v>10</v>
      </c>
      <c r="E369" s="19" t="s">
        <v>204</v>
      </c>
      <c r="F369" s="19" t="s">
        <v>853</v>
      </c>
      <c r="G369" s="19" t="s">
        <v>365</v>
      </c>
      <c r="H369" s="19" t="s">
        <v>362</v>
      </c>
      <c r="I369" s="19" t="s">
        <v>35</v>
      </c>
      <c r="J369" s="19" t="s">
        <v>1048</v>
      </c>
      <c r="K369" s="0" t="n">
        <v>1</v>
      </c>
      <c r="L369" s="20" t="n">
        <v>1597.36</v>
      </c>
      <c r="M369" s="20" t="n">
        <v>1240.66</v>
      </c>
      <c r="N369" s="20" t="n">
        <v>1597.36</v>
      </c>
      <c r="O369" s="20" t="n">
        <v>1240.66</v>
      </c>
      <c r="P369" s="20" t="n">
        <v>356.7</v>
      </c>
      <c r="Q369" s="21" t="n">
        <v>0.2233</v>
      </c>
      <c r="R369" s="19" t="s">
        <v>1149</v>
      </c>
    </row>
    <row r="370" customFormat="false" ht="15" hidden="false" customHeight="false" outlineLevel="0" collapsed="false">
      <c r="A370" s="0" t="n">
        <v>369</v>
      </c>
      <c r="B370" s="18" t="n">
        <v>45581</v>
      </c>
      <c r="C370" s="0" t="n">
        <v>2024</v>
      </c>
      <c r="D370" s="0" t="n">
        <v>10</v>
      </c>
      <c r="E370" s="19" t="s">
        <v>782</v>
      </c>
      <c r="F370" s="19" t="s">
        <v>698</v>
      </c>
      <c r="G370" s="19" t="s">
        <v>252</v>
      </c>
      <c r="H370" s="19" t="s">
        <v>362</v>
      </c>
      <c r="I370" s="19" t="s">
        <v>54</v>
      </c>
      <c r="J370" s="19" t="s">
        <v>1161</v>
      </c>
      <c r="K370" s="0" t="n">
        <v>1</v>
      </c>
      <c r="L370" s="20" t="n">
        <v>337.8</v>
      </c>
      <c r="M370" s="20" t="n">
        <v>240.92</v>
      </c>
      <c r="N370" s="20" t="n">
        <v>337.8</v>
      </c>
      <c r="O370" s="20" t="n">
        <v>240.92</v>
      </c>
      <c r="P370" s="20" t="n">
        <v>96.88</v>
      </c>
      <c r="Q370" s="21" t="n">
        <v>0.2868</v>
      </c>
      <c r="R370" s="19" t="s">
        <v>1145</v>
      </c>
    </row>
    <row r="371" customFormat="false" ht="15" hidden="false" customHeight="false" outlineLevel="0" collapsed="false">
      <c r="A371" s="0" t="n">
        <v>370</v>
      </c>
      <c r="B371" s="18" t="n">
        <v>45581</v>
      </c>
      <c r="C371" s="0" t="n">
        <v>2024</v>
      </c>
      <c r="D371" s="0" t="n">
        <v>10</v>
      </c>
      <c r="E371" s="19" t="s">
        <v>782</v>
      </c>
      <c r="F371" s="19" t="s">
        <v>958</v>
      </c>
      <c r="G371" s="19" t="s">
        <v>572</v>
      </c>
      <c r="H371" s="19" t="s">
        <v>362</v>
      </c>
      <c r="I371" s="19" t="s">
        <v>35</v>
      </c>
      <c r="J371" s="19" t="s">
        <v>716</v>
      </c>
      <c r="K371" s="0" t="n">
        <v>2</v>
      </c>
      <c r="L371" s="20" t="n">
        <v>2782.08</v>
      </c>
      <c r="M371" s="20" t="n">
        <v>1941.11</v>
      </c>
      <c r="N371" s="20" t="n">
        <v>5564.16</v>
      </c>
      <c r="O371" s="20" t="n">
        <v>3882.22</v>
      </c>
      <c r="P371" s="20" t="n">
        <v>1681.94</v>
      </c>
      <c r="Q371" s="21" t="n">
        <v>0.3023</v>
      </c>
      <c r="R371" s="19" t="s">
        <v>1147</v>
      </c>
    </row>
    <row r="372" customFormat="false" ht="15" hidden="false" customHeight="false" outlineLevel="0" collapsed="false">
      <c r="A372" s="0" t="n">
        <v>371</v>
      </c>
      <c r="B372" s="18" t="n">
        <v>45582</v>
      </c>
      <c r="C372" s="0" t="n">
        <v>2024</v>
      </c>
      <c r="D372" s="0" t="n">
        <v>10</v>
      </c>
      <c r="E372" s="19" t="s">
        <v>204</v>
      </c>
      <c r="F372" s="19" t="s">
        <v>698</v>
      </c>
      <c r="G372" s="19" t="s">
        <v>1157</v>
      </c>
      <c r="H372" s="19" t="s">
        <v>362</v>
      </c>
      <c r="I372" s="19" t="s">
        <v>54</v>
      </c>
      <c r="J372" s="19" t="s">
        <v>586</v>
      </c>
      <c r="K372" s="0" t="n">
        <v>1</v>
      </c>
      <c r="L372" s="20" t="n">
        <v>192.32</v>
      </c>
      <c r="M372" s="20" t="n">
        <v>106.22</v>
      </c>
      <c r="N372" s="20" t="n">
        <v>192.32</v>
      </c>
      <c r="O372" s="20" t="n">
        <v>106.22</v>
      </c>
      <c r="P372" s="20" t="n">
        <v>86.1</v>
      </c>
      <c r="Q372" s="21" t="n">
        <v>0.4477</v>
      </c>
      <c r="R372" s="19" t="s">
        <v>1145</v>
      </c>
    </row>
    <row r="373" customFormat="false" ht="15" hidden="false" customHeight="false" outlineLevel="0" collapsed="false">
      <c r="A373" s="0" t="n">
        <v>372</v>
      </c>
      <c r="B373" s="18" t="n">
        <v>45585</v>
      </c>
      <c r="C373" s="0" t="n">
        <v>2024</v>
      </c>
      <c r="D373" s="0" t="n">
        <v>10</v>
      </c>
      <c r="E373" s="19" t="s">
        <v>268</v>
      </c>
      <c r="F373" s="19" t="s">
        <v>853</v>
      </c>
      <c r="G373" s="19" t="s">
        <v>298</v>
      </c>
      <c r="H373" s="19" t="s">
        <v>362</v>
      </c>
      <c r="I373" s="19" t="s">
        <v>35</v>
      </c>
      <c r="J373" s="19" t="s">
        <v>1067</v>
      </c>
      <c r="K373" s="0" t="n">
        <v>1</v>
      </c>
      <c r="L373" s="20" t="n">
        <v>1695.18</v>
      </c>
      <c r="M373" s="20" t="n">
        <v>969.25</v>
      </c>
      <c r="N373" s="20" t="n">
        <v>1695.18</v>
      </c>
      <c r="O373" s="20" t="n">
        <v>969.25</v>
      </c>
      <c r="P373" s="20" t="n">
        <v>725.93</v>
      </c>
      <c r="Q373" s="21" t="n">
        <v>0.4282</v>
      </c>
      <c r="R373" s="19" t="s">
        <v>1149</v>
      </c>
    </row>
    <row r="374" customFormat="false" ht="15" hidden="false" customHeight="false" outlineLevel="0" collapsed="false">
      <c r="A374" s="0" t="n">
        <v>373</v>
      </c>
      <c r="B374" s="18" t="n">
        <v>45585</v>
      </c>
      <c r="C374" s="0" t="n">
        <v>2024</v>
      </c>
      <c r="D374" s="0" t="n">
        <v>10</v>
      </c>
      <c r="E374" s="19" t="s">
        <v>782</v>
      </c>
      <c r="F374" s="19" t="s">
        <v>958</v>
      </c>
      <c r="G374" s="19" t="s">
        <v>902</v>
      </c>
      <c r="H374" s="19" t="s">
        <v>362</v>
      </c>
      <c r="I374" s="19" t="s">
        <v>35</v>
      </c>
      <c r="J374" s="19" t="s">
        <v>1160</v>
      </c>
      <c r="K374" s="0" t="n">
        <v>1</v>
      </c>
      <c r="L374" s="20" t="n">
        <v>3304.71</v>
      </c>
      <c r="M374" s="20" t="n">
        <v>1982.25</v>
      </c>
      <c r="N374" s="20" t="n">
        <v>3304.71</v>
      </c>
      <c r="O374" s="20" t="n">
        <v>1982.25</v>
      </c>
      <c r="P374" s="20" t="n">
        <v>1322.46</v>
      </c>
      <c r="Q374" s="21" t="n">
        <v>0.4002</v>
      </c>
      <c r="R374" s="19" t="s">
        <v>1147</v>
      </c>
    </row>
    <row r="375" customFormat="false" ht="15" hidden="false" customHeight="false" outlineLevel="0" collapsed="false">
      <c r="A375" s="0" t="n">
        <v>374</v>
      </c>
      <c r="B375" s="18" t="n">
        <v>45590</v>
      </c>
      <c r="C375" s="0" t="n">
        <v>2024</v>
      </c>
      <c r="D375" s="0" t="n">
        <v>10</v>
      </c>
      <c r="E375" s="19" t="s">
        <v>204</v>
      </c>
      <c r="F375" s="19" t="s">
        <v>958</v>
      </c>
      <c r="G375" s="19" t="s">
        <v>881</v>
      </c>
      <c r="H375" s="19" t="s">
        <v>362</v>
      </c>
      <c r="I375" s="19" t="s">
        <v>35</v>
      </c>
      <c r="J375" s="19" t="s">
        <v>758</v>
      </c>
      <c r="K375" s="0" t="n">
        <v>1</v>
      </c>
      <c r="L375" s="20" t="n">
        <v>4151.89</v>
      </c>
      <c r="M375" s="20" t="n">
        <v>2447.75</v>
      </c>
      <c r="N375" s="20" t="n">
        <v>4151.89</v>
      </c>
      <c r="O375" s="20" t="n">
        <v>2447.75</v>
      </c>
      <c r="P375" s="20" t="n">
        <v>1704.14</v>
      </c>
      <c r="Q375" s="21" t="n">
        <v>0.4104</v>
      </c>
      <c r="R375" s="19" t="s">
        <v>1147</v>
      </c>
    </row>
    <row r="376" customFormat="false" ht="15" hidden="false" customHeight="false" outlineLevel="0" collapsed="false">
      <c r="A376" s="0" t="n">
        <v>375</v>
      </c>
      <c r="B376" s="18" t="n">
        <v>45591</v>
      </c>
      <c r="C376" s="0" t="n">
        <v>2024</v>
      </c>
      <c r="D376" s="0" t="n">
        <v>10</v>
      </c>
      <c r="E376" s="19" t="s">
        <v>937</v>
      </c>
      <c r="F376" s="19" t="s">
        <v>588</v>
      </c>
      <c r="G376" s="19" t="s">
        <v>1151</v>
      </c>
      <c r="H376" s="19" t="s">
        <v>362</v>
      </c>
      <c r="I376" s="19" t="s">
        <v>54</v>
      </c>
      <c r="J376" s="19" t="s">
        <v>1048</v>
      </c>
      <c r="K376" s="0" t="n">
        <v>1</v>
      </c>
      <c r="L376" s="20" t="n">
        <v>729.79</v>
      </c>
      <c r="M376" s="20" t="n">
        <v>492.08</v>
      </c>
      <c r="N376" s="20" t="n">
        <v>729.79</v>
      </c>
      <c r="O376" s="20" t="n">
        <v>492.08</v>
      </c>
      <c r="P376" s="20" t="n">
        <v>237.71</v>
      </c>
      <c r="Q376" s="21" t="n">
        <v>0.3257</v>
      </c>
      <c r="R376" s="19" t="s">
        <v>1145</v>
      </c>
    </row>
    <row r="377" customFormat="false" ht="15" hidden="false" customHeight="false" outlineLevel="0" collapsed="false">
      <c r="A377" s="0" t="n">
        <v>376</v>
      </c>
      <c r="B377" s="18" t="n">
        <v>45595</v>
      </c>
      <c r="C377" s="0" t="n">
        <v>2024</v>
      </c>
      <c r="D377" s="0" t="n">
        <v>10</v>
      </c>
      <c r="E377" s="19" t="s">
        <v>268</v>
      </c>
      <c r="F377" s="19" t="s">
        <v>588</v>
      </c>
      <c r="G377" s="19" t="s">
        <v>1153</v>
      </c>
      <c r="H377" s="19" t="s">
        <v>333</v>
      </c>
      <c r="I377" s="19" t="s">
        <v>35</v>
      </c>
      <c r="J377" s="19" t="s">
        <v>647</v>
      </c>
      <c r="K377" s="0" t="n">
        <v>1</v>
      </c>
      <c r="L377" s="20" t="n">
        <v>161.6</v>
      </c>
      <c r="M377" s="20" t="n">
        <v>91.35</v>
      </c>
      <c r="N377" s="20" t="n">
        <v>161.6</v>
      </c>
      <c r="O377" s="20" t="n">
        <v>91.35</v>
      </c>
      <c r="P377" s="20" t="n">
        <v>70.25</v>
      </c>
      <c r="Q377" s="21" t="n">
        <v>0.4347</v>
      </c>
      <c r="R377" s="19" t="s">
        <v>1145</v>
      </c>
    </row>
    <row r="378" customFormat="false" ht="15" hidden="false" customHeight="false" outlineLevel="0" collapsed="false">
      <c r="A378" s="0" t="n">
        <v>377</v>
      </c>
      <c r="B378" s="18" t="n">
        <v>45595</v>
      </c>
      <c r="C378" s="0" t="n">
        <v>2024</v>
      </c>
      <c r="D378" s="0" t="n">
        <v>10</v>
      </c>
      <c r="E378" s="19" t="s">
        <v>204</v>
      </c>
      <c r="F378" s="19" t="s">
        <v>698</v>
      </c>
      <c r="G378" s="19" t="s">
        <v>1157</v>
      </c>
      <c r="H378" s="19" t="s">
        <v>333</v>
      </c>
      <c r="I378" s="19" t="s">
        <v>35</v>
      </c>
      <c r="J378" s="19" t="s">
        <v>647</v>
      </c>
      <c r="K378" s="0" t="n">
        <v>1</v>
      </c>
      <c r="L378" s="20" t="n">
        <v>282.09</v>
      </c>
      <c r="M378" s="20" t="n">
        <v>218.73</v>
      </c>
      <c r="N378" s="20" t="n">
        <v>282.09</v>
      </c>
      <c r="O378" s="20" t="n">
        <v>218.73</v>
      </c>
      <c r="P378" s="20" t="n">
        <v>63.36</v>
      </c>
      <c r="Q378" s="21" t="n">
        <v>0.2246</v>
      </c>
      <c r="R378" s="19" t="s">
        <v>1145</v>
      </c>
    </row>
    <row r="379" customFormat="false" ht="15" hidden="false" customHeight="false" outlineLevel="0" collapsed="false">
      <c r="A379" s="0" t="n">
        <v>378</v>
      </c>
      <c r="B379" s="18" t="n">
        <v>45597</v>
      </c>
      <c r="C379" s="0" t="n">
        <v>2024</v>
      </c>
      <c r="D379" s="0" t="n">
        <v>11</v>
      </c>
      <c r="E379" s="19" t="s">
        <v>782</v>
      </c>
      <c r="F379" s="19" t="s">
        <v>588</v>
      </c>
      <c r="G379" s="19" t="s">
        <v>1159</v>
      </c>
      <c r="H379" s="19" t="s">
        <v>362</v>
      </c>
      <c r="I379" s="19" t="s">
        <v>35</v>
      </c>
      <c r="J379" s="19" t="s">
        <v>586</v>
      </c>
      <c r="K379" s="0" t="n">
        <v>2</v>
      </c>
      <c r="L379" s="20" t="n">
        <v>167.24</v>
      </c>
      <c r="M379" s="20" t="n">
        <v>115.02</v>
      </c>
      <c r="N379" s="20" t="n">
        <v>334.48</v>
      </c>
      <c r="O379" s="20" t="n">
        <v>230.04</v>
      </c>
      <c r="P379" s="20" t="n">
        <v>104.44</v>
      </c>
      <c r="Q379" s="21" t="n">
        <v>0.3122</v>
      </c>
      <c r="R379" s="19" t="s">
        <v>1145</v>
      </c>
    </row>
    <row r="380" customFormat="false" ht="15" hidden="false" customHeight="false" outlineLevel="0" collapsed="false">
      <c r="A380" s="0" t="n">
        <v>379</v>
      </c>
      <c r="B380" s="18" t="n">
        <v>45599</v>
      </c>
      <c r="C380" s="0" t="n">
        <v>2024</v>
      </c>
      <c r="D380" s="0" t="n">
        <v>11</v>
      </c>
      <c r="E380" s="19" t="s">
        <v>685</v>
      </c>
      <c r="F380" s="19" t="s">
        <v>588</v>
      </c>
      <c r="G380" s="19" t="s">
        <v>1151</v>
      </c>
      <c r="H380" s="19" t="s">
        <v>333</v>
      </c>
      <c r="I380" s="19" t="s">
        <v>35</v>
      </c>
      <c r="J380" s="19" t="s">
        <v>180</v>
      </c>
      <c r="K380" s="0" t="n">
        <v>1</v>
      </c>
      <c r="L380" s="20" t="n">
        <v>865.64</v>
      </c>
      <c r="M380" s="20" t="n">
        <v>631.69</v>
      </c>
      <c r="N380" s="20" t="n">
        <v>865.64</v>
      </c>
      <c r="O380" s="20" t="n">
        <v>631.69</v>
      </c>
      <c r="P380" s="20" t="n">
        <v>233.95</v>
      </c>
      <c r="Q380" s="21" t="n">
        <v>0.2703</v>
      </c>
      <c r="R380" s="19" t="s">
        <v>1145</v>
      </c>
    </row>
    <row r="381" customFormat="false" ht="15" hidden="false" customHeight="false" outlineLevel="0" collapsed="false">
      <c r="A381" s="0" t="n">
        <v>380</v>
      </c>
      <c r="B381" s="18" t="n">
        <v>45602</v>
      </c>
      <c r="C381" s="0" t="n">
        <v>2024</v>
      </c>
      <c r="D381" s="0" t="n">
        <v>11</v>
      </c>
      <c r="E381" s="19" t="s">
        <v>204</v>
      </c>
      <c r="F381" s="19" t="s">
        <v>698</v>
      </c>
      <c r="G381" s="19" t="s">
        <v>1163</v>
      </c>
      <c r="H381" s="19" t="s">
        <v>333</v>
      </c>
      <c r="I381" s="19" t="s">
        <v>35</v>
      </c>
      <c r="J381" s="19" t="s">
        <v>1155</v>
      </c>
      <c r="K381" s="0" t="n">
        <v>1</v>
      </c>
      <c r="L381" s="20" t="n">
        <v>245.73</v>
      </c>
      <c r="M381" s="20" t="n">
        <v>172.05</v>
      </c>
      <c r="N381" s="20" t="n">
        <v>245.73</v>
      </c>
      <c r="O381" s="20" t="n">
        <v>172.05</v>
      </c>
      <c r="P381" s="20" t="n">
        <v>73.68</v>
      </c>
      <c r="Q381" s="21" t="n">
        <v>0.2998</v>
      </c>
      <c r="R381" s="19" t="s">
        <v>1145</v>
      </c>
    </row>
    <row r="382" customFormat="false" ht="15" hidden="false" customHeight="false" outlineLevel="0" collapsed="false">
      <c r="A382" s="0" t="n">
        <v>381</v>
      </c>
      <c r="B382" s="18" t="n">
        <v>45602</v>
      </c>
      <c r="C382" s="0" t="n">
        <v>2024</v>
      </c>
      <c r="D382" s="0" t="n">
        <v>11</v>
      </c>
      <c r="E382" s="19" t="s">
        <v>782</v>
      </c>
      <c r="F382" s="19" t="s">
        <v>588</v>
      </c>
      <c r="G382" s="19" t="s">
        <v>1153</v>
      </c>
      <c r="H382" s="19" t="s">
        <v>362</v>
      </c>
      <c r="I382" s="19" t="s">
        <v>35</v>
      </c>
      <c r="J382" s="19" t="s">
        <v>586</v>
      </c>
      <c r="K382" s="0" t="n">
        <v>1</v>
      </c>
      <c r="L382" s="20" t="n">
        <v>848.07</v>
      </c>
      <c r="M382" s="20" t="n">
        <v>487.37</v>
      </c>
      <c r="N382" s="20" t="n">
        <v>848.07</v>
      </c>
      <c r="O382" s="20" t="n">
        <v>487.37</v>
      </c>
      <c r="P382" s="20" t="n">
        <v>360.7</v>
      </c>
      <c r="Q382" s="21" t="n">
        <v>0.4253</v>
      </c>
      <c r="R382" s="19" t="s">
        <v>1145</v>
      </c>
    </row>
    <row r="383" customFormat="false" ht="15" hidden="false" customHeight="false" outlineLevel="0" collapsed="false">
      <c r="A383" s="0" t="n">
        <v>382</v>
      </c>
      <c r="B383" s="18" t="n">
        <v>45602</v>
      </c>
      <c r="C383" s="0" t="n">
        <v>2024</v>
      </c>
      <c r="D383" s="0" t="n">
        <v>11</v>
      </c>
      <c r="E383" s="19" t="s">
        <v>268</v>
      </c>
      <c r="F383" s="19" t="s">
        <v>960</v>
      </c>
      <c r="G383" s="19" t="s">
        <v>1002</v>
      </c>
      <c r="H383" s="19" t="s">
        <v>362</v>
      </c>
      <c r="I383" s="19" t="s">
        <v>35</v>
      </c>
      <c r="J383" s="19" t="s">
        <v>1158</v>
      </c>
      <c r="K383" s="0" t="n">
        <v>1</v>
      </c>
      <c r="L383" s="20" t="n">
        <v>4788.89</v>
      </c>
      <c r="M383" s="20" t="n">
        <v>3623.4</v>
      </c>
      <c r="N383" s="20" t="n">
        <v>4788.89</v>
      </c>
      <c r="O383" s="20" t="n">
        <v>3623.4</v>
      </c>
      <c r="P383" s="20" t="n">
        <v>1165.49</v>
      </c>
      <c r="Q383" s="21" t="n">
        <v>0.2434</v>
      </c>
      <c r="R383" s="19" t="s">
        <v>1147</v>
      </c>
    </row>
    <row r="384" customFormat="false" ht="15" hidden="false" customHeight="false" outlineLevel="0" collapsed="false">
      <c r="A384" s="0" t="n">
        <v>383</v>
      </c>
      <c r="B384" s="18" t="n">
        <v>45603</v>
      </c>
      <c r="C384" s="0" t="n">
        <v>2024</v>
      </c>
      <c r="D384" s="0" t="n">
        <v>11</v>
      </c>
      <c r="E384" s="19" t="s">
        <v>685</v>
      </c>
      <c r="F384" s="19" t="s">
        <v>853</v>
      </c>
      <c r="G384" s="19" t="s">
        <v>1148</v>
      </c>
      <c r="H384" s="19" t="s">
        <v>333</v>
      </c>
      <c r="I384" s="19" t="s">
        <v>35</v>
      </c>
      <c r="J384" s="19" t="s">
        <v>1160</v>
      </c>
      <c r="K384" s="0" t="n">
        <v>2</v>
      </c>
      <c r="L384" s="20" t="n">
        <v>1065.74</v>
      </c>
      <c r="M384" s="20" t="n">
        <v>599.78</v>
      </c>
      <c r="N384" s="20" t="n">
        <v>2131.48</v>
      </c>
      <c r="O384" s="20" t="n">
        <v>1199.56</v>
      </c>
      <c r="P384" s="20" t="n">
        <v>931.92</v>
      </c>
      <c r="Q384" s="21" t="n">
        <v>0.4372</v>
      </c>
      <c r="R384" s="19" t="s">
        <v>1149</v>
      </c>
    </row>
    <row r="385" customFormat="false" ht="15" hidden="false" customHeight="false" outlineLevel="0" collapsed="false">
      <c r="A385" s="0" t="n">
        <v>384</v>
      </c>
      <c r="B385" s="18" t="n">
        <v>45604</v>
      </c>
      <c r="C385" s="0" t="n">
        <v>2024</v>
      </c>
      <c r="D385" s="0" t="n">
        <v>11</v>
      </c>
      <c r="E385" s="19" t="s">
        <v>782</v>
      </c>
      <c r="F385" s="19" t="s">
        <v>698</v>
      </c>
      <c r="G385" s="19" t="s">
        <v>1157</v>
      </c>
      <c r="H385" s="19" t="s">
        <v>333</v>
      </c>
      <c r="I385" s="19" t="s">
        <v>35</v>
      </c>
      <c r="J385" s="19" t="s">
        <v>647</v>
      </c>
      <c r="K385" s="0" t="n">
        <v>1</v>
      </c>
      <c r="L385" s="20" t="n">
        <v>316</v>
      </c>
      <c r="M385" s="20" t="n">
        <v>197.63</v>
      </c>
      <c r="N385" s="20" t="n">
        <v>316</v>
      </c>
      <c r="O385" s="20" t="n">
        <v>197.63</v>
      </c>
      <c r="P385" s="20" t="n">
        <v>118.37</v>
      </c>
      <c r="Q385" s="21" t="n">
        <v>0.3746</v>
      </c>
      <c r="R385" s="19" t="s">
        <v>1145</v>
      </c>
    </row>
    <row r="386" customFormat="false" ht="15" hidden="false" customHeight="false" outlineLevel="0" collapsed="false">
      <c r="A386" s="0" t="n">
        <v>385</v>
      </c>
      <c r="B386" s="18" t="n">
        <v>45606</v>
      </c>
      <c r="C386" s="0" t="n">
        <v>2024</v>
      </c>
      <c r="D386" s="0" t="n">
        <v>11</v>
      </c>
      <c r="E386" s="19" t="s">
        <v>937</v>
      </c>
      <c r="F386" s="19" t="s">
        <v>698</v>
      </c>
      <c r="G386" s="19" t="s">
        <v>1163</v>
      </c>
      <c r="H386" s="19" t="s">
        <v>333</v>
      </c>
      <c r="I386" s="19" t="s">
        <v>35</v>
      </c>
      <c r="J386" s="19" t="s">
        <v>1067</v>
      </c>
      <c r="K386" s="0" t="n">
        <v>3</v>
      </c>
      <c r="L386" s="20" t="n">
        <v>111.9</v>
      </c>
      <c r="M386" s="20" t="n">
        <v>80.04</v>
      </c>
      <c r="N386" s="20" t="n">
        <v>335.7</v>
      </c>
      <c r="O386" s="20" t="n">
        <v>240.12</v>
      </c>
      <c r="P386" s="20" t="n">
        <v>95.58</v>
      </c>
      <c r="Q386" s="21" t="n">
        <v>0.2847</v>
      </c>
      <c r="R386" s="19" t="s">
        <v>1145</v>
      </c>
    </row>
    <row r="387" customFormat="false" ht="15" hidden="false" customHeight="false" outlineLevel="0" collapsed="false">
      <c r="A387" s="0" t="n">
        <v>386</v>
      </c>
      <c r="B387" s="18" t="n">
        <v>45608</v>
      </c>
      <c r="C387" s="0" t="n">
        <v>2024</v>
      </c>
      <c r="D387" s="0" t="n">
        <v>11</v>
      </c>
      <c r="E387" s="19" t="s">
        <v>937</v>
      </c>
      <c r="F387" s="19" t="s">
        <v>588</v>
      </c>
      <c r="G387" s="19" t="s">
        <v>1159</v>
      </c>
      <c r="H387" s="19" t="s">
        <v>333</v>
      </c>
      <c r="I387" s="19" t="s">
        <v>35</v>
      </c>
      <c r="J387" s="19" t="s">
        <v>1067</v>
      </c>
      <c r="K387" s="0" t="n">
        <v>1</v>
      </c>
      <c r="L387" s="20" t="n">
        <v>325.28</v>
      </c>
      <c r="M387" s="20" t="n">
        <v>233.4</v>
      </c>
      <c r="N387" s="20" t="n">
        <v>325.28</v>
      </c>
      <c r="O387" s="20" t="n">
        <v>233.4</v>
      </c>
      <c r="P387" s="20" t="n">
        <v>91.88</v>
      </c>
      <c r="Q387" s="21" t="n">
        <v>0.2825</v>
      </c>
      <c r="R387" s="19" t="s">
        <v>1145</v>
      </c>
    </row>
    <row r="388" customFormat="false" ht="15" hidden="false" customHeight="false" outlineLevel="0" collapsed="false">
      <c r="A388" s="0" t="n">
        <v>387</v>
      </c>
      <c r="B388" s="18" t="n">
        <v>45610</v>
      </c>
      <c r="C388" s="0" t="n">
        <v>2024</v>
      </c>
      <c r="D388" s="0" t="n">
        <v>11</v>
      </c>
      <c r="E388" s="19" t="s">
        <v>782</v>
      </c>
      <c r="F388" s="19" t="s">
        <v>960</v>
      </c>
      <c r="G388" s="19" t="s">
        <v>1002</v>
      </c>
      <c r="H388" s="19" t="s">
        <v>362</v>
      </c>
      <c r="I388" s="19" t="s">
        <v>35</v>
      </c>
      <c r="J388" s="19" t="s">
        <v>1054</v>
      </c>
      <c r="K388" s="0" t="n">
        <v>1</v>
      </c>
      <c r="L388" s="20" t="n">
        <v>4915.67</v>
      </c>
      <c r="M388" s="20" t="n">
        <v>3328.09</v>
      </c>
      <c r="N388" s="20" t="n">
        <v>4915.67</v>
      </c>
      <c r="O388" s="20" t="n">
        <v>3328.09</v>
      </c>
      <c r="P388" s="20" t="n">
        <v>1587.58</v>
      </c>
      <c r="Q388" s="21" t="n">
        <v>0.323</v>
      </c>
      <c r="R388" s="19" t="s">
        <v>1147</v>
      </c>
    </row>
    <row r="389" customFormat="false" ht="15" hidden="false" customHeight="false" outlineLevel="0" collapsed="false">
      <c r="A389" s="0" t="n">
        <v>388</v>
      </c>
      <c r="B389" s="18" t="n">
        <v>45610</v>
      </c>
      <c r="C389" s="0" t="n">
        <v>2024</v>
      </c>
      <c r="D389" s="0" t="n">
        <v>11</v>
      </c>
      <c r="E389" s="19" t="s">
        <v>937</v>
      </c>
      <c r="F389" s="19" t="s">
        <v>958</v>
      </c>
      <c r="G389" s="19" t="s">
        <v>902</v>
      </c>
      <c r="H389" s="19" t="s">
        <v>362</v>
      </c>
      <c r="I389" s="19" t="s">
        <v>35</v>
      </c>
      <c r="J389" s="19" t="s">
        <v>180</v>
      </c>
      <c r="K389" s="0" t="n">
        <v>2</v>
      </c>
      <c r="L389" s="20" t="n">
        <v>3580.52</v>
      </c>
      <c r="M389" s="20" t="n">
        <v>2663.56</v>
      </c>
      <c r="N389" s="20" t="n">
        <v>7161.04</v>
      </c>
      <c r="O389" s="20" t="n">
        <v>5327.12</v>
      </c>
      <c r="P389" s="20" t="n">
        <v>1833.92</v>
      </c>
      <c r="Q389" s="21" t="n">
        <v>0.2561</v>
      </c>
      <c r="R389" s="19" t="s">
        <v>1147</v>
      </c>
    </row>
    <row r="390" customFormat="false" ht="15" hidden="false" customHeight="false" outlineLevel="0" collapsed="false">
      <c r="A390" s="0" t="n">
        <v>389</v>
      </c>
      <c r="B390" s="18" t="n">
        <v>45610</v>
      </c>
      <c r="C390" s="0" t="n">
        <v>2024</v>
      </c>
      <c r="D390" s="0" t="n">
        <v>11</v>
      </c>
      <c r="E390" s="19" t="s">
        <v>937</v>
      </c>
      <c r="F390" s="19" t="s">
        <v>588</v>
      </c>
      <c r="G390" s="19" t="s">
        <v>1151</v>
      </c>
      <c r="H390" s="19" t="s">
        <v>333</v>
      </c>
      <c r="I390" s="19" t="s">
        <v>35</v>
      </c>
      <c r="J390" s="19" t="s">
        <v>1155</v>
      </c>
      <c r="K390" s="0" t="n">
        <v>1</v>
      </c>
      <c r="L390" s="20" t="n">
        <v>140.74</v>
      </c>
      <c r="M390" s="20" t="n">
        <v>90.65</v>
      </c>
      <c r="N390" s="20" t="n">
        <v>140.74</v>
      </c>
      <c r="O390" s="20" t="n">
        <v>90.65</v>
      </c>
      <c r="P390" s="20" t="n">
        <v>50.09</v>
      </c>
      <c r="Q390" s="21" t="n">
        <v>0.3559</v>
      </c>
      <c r="R390" s="19" t="s">
        <v>1145</v>
      </c>
    </row>
    <row r="391" customFormat="false" ht="15" hidden="false" customHeight="false" outlineLevel="0" collapsed="false">
      <c r="A391" s="0" t="n">
        <v>390</v>
      </c>
      <c r="B391" s="18" t="n">
        <v>45610</v>
      </c>
      <c r="C391" s="0" t="n">
        <v>2024</v>
      </c>
      <c r="D391" s="0" t="n">
        <v>11</v>
      </c>
      <c r="E391" s="19" t="s">
        <v>204</v>
      </c>
      <c r="F391" s="19" t="s">
        <v>958</v>
      </c>
      <c r="G391" s="19" t="s">
        <v>572</v>
      </c>
      <c r="H391" s="19" t="s">
        <v>333</v>
      </c>
      <c r="I391" s="19" t="s">
        <v>54</v>
      </c>
      <c r="J391" s="19" t="s">
        <v>1158</v>
      </c>
      <c r="K391" s="0" t="n">
        <v>1</v>
      </c>
      <c r="L391" s="20" t="n">
        <v>2565.97</v>
      </c>
      <c r="M391" s="20" t="n">
        <v>1897.83</v>
      </c>
      <c r="N391" s="20" t="n">
        <v>2565.97</v>
      </c>
      <c r="O391" s="20" t="n">
        <v>1897.83</v>
      </c>
      <c r="P391" s="20" t="n">
        <v>668.14</v>
      </c>
      <c r="Q391" s="21" t="n">
        <v>0.2604</v>
      </c>
      <c r="R391" s="19" t="s">
        <v>1149</v>
      </c>
    </row>
    <row r="392" customFormat="false" ht="15" hidden="false" customHeight="false" outlineLevel="0" collapsed="false">
      <c r="A392" s="0" t="n">
        <v>391</v>
      </c>
      <c r="B392" s="18" t="n">
        <v>45610</v>
      </c>
      <c r="C392" s="0" t="n">
        <v>2024</v>
      </c>
      <c r="D392" s="0" t="n">
        <v>11</v>
      </c>
      <c r="E392" s="19" t="s">
        <v>268</v>
      </c>
      <c r="F392" s="19" t="s">
        <v>698</v>
      </c>
      <c r="G392" s="19" t="s">
        <v>1163</v>
      </c>
      <c r="H392" s="19" t="s">
        <v>333</v>
      </c>
      <c r="I392" s="19" t="s">
        <v>35</v>
      </c>
      <c r="J392" s="19" t="s">
        <v>1048</v>
      </c>
      <c r="K392" s="0" t="n">
        <v>1</v>
      </c>
      <c r="L392" s="20" t="n">
        <v>210.01</v>
      </c>
      <c r="M392" s="20" t="n">
        <v>163.06</v>
      </c>
      <c r="N392" s="20" t="n">
        <v>210.01</v>
      </c>
      <c r="O392" s="20" t="n">
        <v>163.06</v>
      </c>
      <c r="P392" s="20" t="n">
        <v>46.95</v>
      </c>
      <c r="Q392" s="21" t="n">
        <v>0.2236</v>
      </c>
      <c r="R392" s="19" t="s">
        <v>1145</v>
      </c>
    </row>
    <row r="393" customFormat="false" ht="15" hidden="false" customHeight="false" outlineLevel="0" collapsed="false">
      <c r="A393" s="0" t="n">
        <v>392</v>
      </c>
      <c r="B393" s="18" t="n">
        <v>45611</v>
      </c>
      <c r="C393" s="0" t="n">
        <v>2024</v>
      </c>
      <c r="D393" s="0" t="n">
        <v>11</v>
      </c>
      <c r="E393" s="19" t="s">
        <v>782</v>
      </c>
      <c r="F393" s="19" t="s">
        <v>698</v>
      </c>
      <c r="G393" s="19" t="s">
        <v>774</v>
      </c>
      <c r="H393" s="19" t="s">
        <v>362</v>
      </c>
      <c r="I393" s="19" t="s">
        <v>54</v>
      </c>
      <c r="J393" s="19" t="s">
        <v>1158</v>
      </c>
      <c r="K393" s="0" t="n">
        <v>2</v>
      </c>
      <c r="L393" s="20" t="n">
        <v>235.76</v>
      </c>
      <c r="M393" s="20" t="n">
        <v>183.83</v>
      </c>
      <c r="N393" s="20" t="n">
        <v>471.52</v>
      </c>
      <c r="O393" s="20" t="n">
        <v>367.66</v>
      </c>
      <c r="P393" s="20" t="n">
        <v>103.86</v>
      </c>
      <c r="Q393" s="21" t="n">
        <v>0.2203</v>
      </c>
      <c r="R393" s="19" t="s">
        <v>1145</v>
      </c>
    </row>
    <row r="394" customFormat="false" ht="15" hidden="false" customHeight="false" outlineLevel="0" collapsed="false">
      <c r="A394" s="0" t="n">
        <v>393</v>
      </c>
      <c r="B394" s="18" t="n">
        <v>45617</v>
      </c>
      <c r="C394" s="0" t="n">
        <v>2024</v>
      </c>
      <c r="D394" s="0" t="n">
        <v>11</v>
      </c>
      <c r="E394" s="19" t="s">
        <v>782</v>
      </c>
      <c r="F394" s="19" t="s">
        <v>958</v>
      </c>
      <c r="G394" s="19" t="s">
        <v>572</v>
      </c>
      <c r="H394" s="19" t="s">
        <v>362</v>
      </c>
      <c r="I394" s="19" t="s">
        <v>35</v>
      </c>
      <c r="J394" s="19" t="s">
        <v>647</v>
      </c>
      <c r="K394" s="0" t="n">
        <v>1</v>
      </c>
      <c r="L394" s="20" t="n">
        <v>1843.6</v>
      </c>
      <c r="M394" s="20" t="n">
        <v>1248.65</v>
      </c>
      <c r="N394" s="20" t="n">
        <v>1843.6</v>
      </c>
      <c r="O394" s="20" t="n">
        <v>1248.65</v>
      </c>
      <c r="P394" s="20" t="n">
        <v>594.95</v>
      </c>
      <c r="Q394" s="21" t="n">
        <v>0.3227</v>
      </c>
      <c r="R394" s="19" t="s">
        <v>1149</v>
      </c>
    </row>
    <row r="395" customFormat="false" ht="15" hidden="false" customHeight="false" outlineLevel="0" collapsed="false">
      <c r="A395" s="0" t="n">
        <v>394</v>
      </c>
      <c r="B395" s="18" t="n">
        <v>45619</v>
      </c>
      <c r="C395" s="0" t="n">
        <v>2024</v>
      </c>
      <c r="D395" s="0" t="n">
        <v>11</v>
      </c>
      <c r="E395" s="19" t="s">
        <v>782</v>
      </c>
      <c r="F395" s="19" t="s">
        <v>958</v>
      </c>
      <c r="G395" s="19" t="s">
        <v>1150</v>
      </c>
      <c r="H395" s="19" t="s">
        <v>362</v>
      </c>
      <c r="I395" s="19" t="s">
        <v>54</v>
      </c>
      <c r="J395" s="19" t="s">
        <v>377</v>
      </c>
      <c r="K395" s="0" t="n">
        <v>2</v>
      </c>
      <c r="L395" s="20" t="n">
        <v>2868.89</v>
      </c>
      <c r="M395" s="20" t="n">
        <v>2009.37</v>
      </c>
      <c r="N395" s="20" t="n">
        <v>5737.78</v>
      </c>
      <c r="O395" s="20" t="n">
        <v>4018.74</v>
      </c>
      <c r="P395" s="20" t="n">
        <v>1719.04</v>
      </c>
      <c r="Q395" s="21" t="n">
        <v>0.2996</v>
      </c>
      <c r="R395" s="19" t="s">
        <v>1147</v>
      </c>
    </row>
    <row r="396" customFormat="false" ht="15" hidden="false" customHeight="false" outlineLevel="0" collapsed="false">
      <c r="A396" s="0" t="n">
        <v>395</v>
      </c>
      <c r="B396" s="18" t="n">
        <v>45621</v>
      </c>
      <c r="C396" s="0" t="n">
        <v>2024</v>
      </c>
      <c r="D396" s="0" t="n">
        <v>11</v>
      </c>
      <c r="E396" s="19" t="s">
        <v>204</v>
      </c>
      <c r="F396" s="19" t="s">
        <v>588</v>
      </c>
      <c r="G396" s="19" t="s">
        <v>1153</v>
      </c>
      <c r="H396" s="19" t="s">
        <v>333</v>
      </c>
      <c r="I396" s="19" t="s">
        <v>35</v>
      </c>
      <c r="J396" s="19" t="s">
        <v>586</v>
      </c>
      <c r="K396" s="0" t="n">
        <v>2</v>
      </c>
      <c r="L396" s="20" t="n">
        <v>525.55</v>
      </c>
      <c r="M396" s="20" t="n">
        <v>352.01</v>
      </c>
      <c r="N396" s="20" t="n">
        <v>1051.1</v>
      </c>
      <c r="O396" s="20" t="n">
        <v>704.02</v>
      </c>
      <c r="P396" s="20" t="n">
        <v>347.08</v>
      </c>
      <c r="Q396" s="21" t="n">
        <v>0.3302</v>
      </c>
      <c r="R396" s="19" t="s">
        <v>1149</v>
      </c>
    </row>
    <row r="397" customFormat="false" ht="15" hidden="false" customHeight="false" outlineLevel="0" collapsed="false">
      <c r="A397" s="0" t="n">
        <v>396</v>
      </c>
      <c r="B397" s="18" t="n">
        <v>45622</v>
      </c>
      <c r="C397" s="0" t="n">
        <v>2024</v>
      </c>
      <c r="D397" s="0" t="n">
        <v>11</v>
      </c>
      <c r="E397" s="19" t="s">
        <v>782</v>
      </c>
      <c r="F397" s="19" t="s">
        <v>588</v>
      </c>
      <c r="G397" s="19" t="s">
        <v>1152</v>
      </c>
      <c r="H397" s="19" t="s">
        <v>333</v>
      </c>
      <c r="I397" s="19" t="s">
        <v>35</v>
      </c>
      <c r="J397" s="19" t="s">
        <v>613</v>
      </c>
      <c r="K397" s="0" t="n">
        <v>1</v>
      </c>
      <c r="L397" s="20" t="n">
        <v>603.54</v>
      </c>
      <c r="M397" s="20" t="n">
        <v>430.89</v>
      </c>
      <c r="N397" s="20" t="n">
        <v>603.54</v>
      </c>
      <c r="O397" s="20" t="n">
        <v>430.89</v>
      </c>
      <c r="P397" s="20" t="n">
        <v>172.65</v>
      </c>
      <c r="Q397" s="21" t="n">
        <v>0.2861</v>
      </c>
      <c r="R397" s="19" t="s">
        <v>1145</v>
      </c>
    </row>
    <row r="398" customFormat="false" ht="15" hidden="false" customHeight="false" outlineLevel="0" collapsed="false">
      <c r="A398" s="0" t="n">
        <v>397</v>
      </c>
      <c r="B398" s="18" t="n">
        <v>45624</v>
      </c>
      <c r="C398" s="0" t="n">
        <v>2024</v>
      </c>
      <c r="D398" s="0" t="n">
        <v>11</v>
      </c>
      <c r="E398" s="19" t="s">
        <v>268</v>
      </c>
      <c r="F398" s="19" t="s">
        <v>960</v>
      </c>
      <c r="G398" s="19" t="s">
        <v>217</v>
      </c>
      <c r="H398" s="19" t="s">
        <v>362</v>
      </c>
      <c r="I398" s="19" t="s">
        <v>35</v>
      </c>
      <c r="J398" s="19" t="s">
        <v>1156</v>
      </c>
      <c r="K398" s="0" t="n">
        <v>1</v>
      </c>
      <c r="L398" s="20" t="n">
        <v>6449.34</v>
      </c>
      <c r="M398" s="20" t="n">
        <v>3778.97</v>
      </c>
      <c r="N398" s="20" t="n">
        <v>6449.34</v>
      </c>
      <c r="O398" s="20" t="n">
        <v>3778.97</v>
      </c>
      <c r="P398" s="20" t="n">
        <v>2670.37</v>
      </c>
      <c r="Q398" s="21" t="n">
        <v>0.4141</v>
      </c>
      <c r="R398" s="19" t="s">
        <v>1147</v>
      </c>
    </row>
    <row r="399" customFormat="false" ht="15" hidden="false" customHeight="false" outlineLevel="0" collapsed="false">
      <c r="A399" s="0" t="n">
        <v>398</v>
      </c>
      <c r="B399" s="18" t="n">
        <v>45626</v>
      </c>
      <c r="C399" s="0" t="n">
        <v>2024</v>
      </c>
      <c r="D399" s="0" t="n">
        <v>11</v>
      </c>
      <c r="E399" s="19" t="s">
        <v>268</v>
      </c>
      <c r="F399" s="19" t="s">
        <v>698</v>
      </c>
      <c r="G399" s="19" t="s">
        <v>774</v>
      </c>
      <c r="H399" s="19" t="s">
        <v>333</v>
      </c>
      <c r="I399" s="19" t="s">
        <v>35</v>
      </c>
      <c r="J399" s="19" t="s">
        <v>586</v>
      </c>
      <c r="K399" s="0" t="n">
        <v>1</v>
      </c>
      <c r="L399" s="20" t="n">
        <v>30.26</v>
      </c>
      <c r="M399" s="20" t="n">
        <v>19.78</v>
      </c>
      <c r="N399" s="20" t="n">
        <v>30.26</v>
      </c>
      <c r="O399" s="20" t="n">
        <v>19.78</v>
      </c>
      <c r="P399" s="20" t="n">
        <v>10.48</v>
      </c>
      <c r="Q399" s="21" t="n">
        <v>0.3463</v>
      </c>
      <c r="R399" s="19" t="s">
        <v>1145</v>
      </c>
    </row>
    <row r="400" customFormat="false" ht="15" hidden="false" customHeight="false" outlineLevel="0" collapsed="false">
      <c r="A400" s="0" t="n">
        <v>399</v>
      </c>
      <c r="B400" s="18" t="n">
        <v>45626</v>
      </c>
      <c r="C400" s="0" t="n">
        <v>2024</v>
      </c>
      <c r="D400" s="0" t="n">
        <v>11</v>
      </c>
      <c r="E400" s="19" t="s">
        <v>782</v>
      </c>
      <c r="F400" s="19" t="s">
        <v>958</v>
      </c>
      <c r="G400" s="19" t="s">
        <v>572</v>
      </c>
      <c r="H400" s="19" t="s">
        <v>362</v>
      </c>
      <c r="I400" s="19" t="s">
        <v>35</v>
      </c>
      <c r="J400" s="19" t="s">
        <v>741</v>
      </c>
      <c r="K400" s="0" t="n">
        <v>1</v>
      </c>
      <c r="L400" s="20" t="n">
        <v>1632.81</v>
      </c>
      <c r="M400" s="20" t="n">
        <v>1133.45</v>
      </c>
      <c r="N400" s="20" t="n">
        <v>1632.81</v>
      </c>
      <c r="O400" s="20" t="n">
        <v>1133.45</v>
      </c>
      <c r="P400" s="20" t="n">
        <v>499.36</v>
      </c>
      <c r="Q400" s="21" t="n">
        <v>0.3058</v>
      </c>
      <c r="R400" s="19" t="s">
        <v>1149</v>
      </c>
    </row>
    <row r="401" customFormat="false" ht="15" hidden="false" customHeight="false" outlineLevel="0" collapsed="false">
      <c r="A401" s="0" t="n">
        <v>400</v>
      </c>
      <c r="B401" s="18" t="n">
        <v>45629</v>
      </c>
      <c r="C401" s="0" t="n">
        <v>2024</v>
      </c>
      <c r="D401" s="0" t="n">
        <v>12</v>
      </c>
      <c r="E401" s="19" t="s">
        <v>782</v>
      </c>
      <c r="F401" s="19" t="s">
        <v>853</v>
      </c>
      <c r="G401" s="19" t="s">
        <v>1148</v>
      </c>
      <c r="H401" s="19" t="s">
        <v>362</v>
      </c>
      <c r="I401" s="19" t="s">
        <v>35</v>
      </c>
      <c r="J401" s="19" t="s">
        <v>260</v>
      </c>
      <c r="K401" s="0" t="n">
        <v>1</v>
      </c>
      <c r="L401" s="20" t="n">
        <v>1522.6</v>
      </c>
      <c r="M401" s="20" t="n">
        <v>947.65</v>
      </c>
      <c r="N401" s="20" t="n">
        <v>1522.6</v>
      </c>
      <c r="O401" s="20" t="n">
        <v>947.65</v>
      </c>
      <c r="P401" s="20" t="n">
        <v>574.95</v>
      </c>
      <c r="Q401" s="21" t="n">
        <v>0.3776</v>
      </c>
      <c r="R401" s="19" t="s">
        <v>1149</v>
      </c>
    </row>
    <row r="402" customFormat="false" ht="15" hidden="false" customHeight="false" outlineLevel="0" collapsed="false">
      <c r="A402" s="0" t="n">
        <v>401</v>
      </c>
      <c r="B402" s="18" t="n">
        <v>45632</v>
      </c>
      <c r="C402" s="0" t="n">
        <v>2024</v>
      </c>
      <c r="D402" s="0" t="n">
        <v>12</v>
      </c>
      <c r="E402" s="19" t="s">
        <v>268</v>
      </c>
      <c r="F402" s="19" t="s">
        <v>853</v>
      </c>
      <c r="G402" s="19" t="s">
        <v>365</v>
      </c>
      <c r="H402" s="19" t="s">
        <v>333</v>
      </c>
      <c r="I402" s="19" t="s">
        <v>35</v>
      </c>
      <c r="J402" s="19" t="s">
        <v>758</v>
      </c>
      <c r="K402" s="0" t="n">
        <v>1</v>
      </c>
      <c r="L402" s="20" t="n">
        <v>2878.8</v>
      </c>
      <c r="M402" s="20" t="n">
        <v>1861.58</v>
      </c>
      <c r="N402" s="20" t="n">
        <v>2878.8</v>
      </c>
      <c r="O402" s="20" t="n">
        <v>1861.58</v>
      </c>
      <c r="P402" s="20" t="n">
        <v>1017.22</v>
      </c>
      <c r="Q402" s="21" t="n">
        <v>0.3533</v>
      </c>
      <c r="R402" s="19" t="s">
        <v>1149</v>
      </c>
    </row>
    <row r="403" customFormat="false" ht="15" hidden="false" customHeight="false" outlineLevel="0" collapsed="false">
      <c r="A403" s="0" t="n">
        <v>402</v>
      </c>
      <c r="B403" s="18" t="n">
        <v>45633</v>
      </c>
      <c r="C403" s="0" t="n">
        <v>2024</v>
      </c>
      <c r="D403" s="0" t="n">
        <v>12</v>
      </c>
      <c r="E403" s="19" t="s">
        <v>782</v>
      </c>
      <c r="F403" s="19" t="s">
        <v>960</v>
      </c>
      <c r="G403" s="19" t="s">
        <v>1002</v>
      </c>
      <c r="H403" s="19" t="s">
        <v>362</v>
      </c>
      <c r="I403" s="19" t="s">
        <v>35</v>
      </c>
      <c r="J403" s="19" t="s">
        <v>716</v>
      </c>
      <c r="K403" s="0" t="n">
        <v>1</v>
      </c>
      <c r="L403" s="20" t="n">
        <v>3252.52</v>
      </c>
      <c r="M403" s="20" t="n">
        <v>2535.16</v>
      </c>
      <c r="N403" s="20" t="n">
        <v>3252.52</v>
      </c>
      <c r="O403" s="20" t="n">
        <v>2535.16</v>
      </c>
      <c r="P403" s="20" t="n">
        <v>717.36</v>
      </c>
      <c r="Q403" s="21" t="n">
        <v>0.2206</v>
      </c>
      <c r="R403" s="19" t="s">
        <v>1147</v>
      </c>
    </row>
    <row r="404" customFormat="false" ht="15" hidden="false" customHeight="false" outlineLevel="0" collapsed="false">
      <c r="A404" s="0" t="n">
        <v>403</v>
      </c>
      <c r="B404" s="18" t="n">
        <v>45634</v>
      </c>
      <c r="C404" s="0" t="n">
        <v>2024</v>
      </c>
      <c r="D404" s="0" t="n">
        <v>12</v>
      </c>
      <c r="E404" s="19" t="s">
        <v>204</v>
      </c>
      <c r="F404" s="19" t="s">
        <v>960</v>
      </c>
      <c r="G404" s="19" t="s">
        <v>1154</v>
      </c>
      <c r="H404" s="19" t="s">
        <v>333</v>
      </c>
      <c r="I404" s="19" t="s">
        <v>35</v>
      </c>
      <c r="J404" s="19" t="s">
        <v>647</v>
      </c>
      <c r="K404" s="0" t="n">
        <v>1</v>
      </c>
      <c r="L404" s="20" t="n">
        <v>5857.67</v>
      </c>
      <c r="M404" s="20" t="n">
        <v>4418.58</v>
      </c>
      <c r="N404" s="20" t="n">
        <v>5857.67</v>
      </c>
      <c r="O404" s="20" t="n">
        <v>4418.58</v>
      </c>
      <c r="P404" s="20" t="n">
        <v>1439.09</v>
      </c>
      <c r="Q404" s="21" t="n">
        <v>0.2457</v>
      </c>
      <c r="R404" s="19" t="s">
        <v>1147</v>
      </c>
    </row>
    <row r="405" customFormat="false" ht="15" hidden="false" customHeight="false" outlineLevel="0" collapsed="false">
      <c r="A405" s="0" t="n">
        <v>404</v>
      </c>
      <c r="B405" s="18" t="n">
        <v>45635</v>
      </c>
      <c r="C405" s="0" t="n">
        <v>2024</v>
      </c>
      <c r="D405" s="0" t="n">
        <v>12</v>
      </c>
      <c r="E405" s="19" t="s">
        <v>782</v>
      </c>
      <c r="F405" s="19" t="s">
        <v>588</v>
      </c>
      <c r="G405" s="19" t="s">
        <v>1151</v>
      </c>
      <c r="H405" s="19" t="s">
        <v>362</v>
      </c>
      <c r="I405" s="19" t="s">
        <v>35</v>
      </c>
      <c r="J405" s="19" t="s">
        <v>807</v>
      </c>
      <c r="K405" s="0" t="n">
        <v>1</v>
      </c>
      <c r="L405" s="20" t="n">
        <v>885.08</v>
      </c>
      <c r="M405" s="20" t="n">
        <v>584</v>
      </c>
      <c r="N405" s="20" t="n">
        <v>885.08</v>
      </c>
      <c r="O405" s="20" t="n">
        <v>584</v>
      </c>
      <c r="P405" s="20" t="n">
        <v>301.08</v>
      </c>
      <c r="Q405" s="21" t="n">
        <v>0.3402</v>
      </c>
      <c r="R405" s="19" t="s">
        <v>1145</v>
      </c>
    </row>
    <row r="406" customFormat="false" ht="15" hidden="false" customHeight="false" outlineLevel="0" collapsed="false">
      <c r="A406" s="0" t="n">
        <v>405</v>
      </c>
      <c r="B406" s="18" t="n">
        <v>45636</v>
      </c>
      <c r="C406" s="0" t="n">
        <v>2024</v>
      </c>
      <c r="D406" s="0" t="n">
        <v>12</v>
      </c>
      <c r="E406" s="19" t="s">
        <v>782</v>
      </c>
      <c r="F406" s="19" t="s">
        <v>853</v>
      </c>
      <c r="G406" s="19" t="s">
        <v>1148</v>
      </c>
      <c r="H406" s="19" t="s">
        <v>333</v>
      </c>
      <c r="I406" s="19" t="s">
        <v>35</v>
      </c>
      <c r="J406" s="19" t="s">
        <v>1156</v>
      </c>
      <c r="K406" s="0" t="n">
        <v>1</v>
      </c>
      <c r="L406" s="20" t="n">
        <v>950.21</v>
      </c>
      <c r="M406" s="20" t="n">
        <v>597.98</v>
      </c>
      <c r="N406" s="20" t="n">
        <v>950.21</v>
      </c>
      <c r="O406" s="20" t="n">
        <v>597.98</v>
      </c>
      <c r="P406" s="20" t="n">
        <v>352.23</v>
      </c>
      <c r="Q406" s="21" t="n">
        <v>0.3707</v>
      </c>
      <c r="R406" s="19" t="s">
        <v>1145</v>
      </c>
    </row>
    <row r="407" customFormat="false" ht="15" hidden="false" customHeight="false" outlineLevel="0" collapsed="false">
      <c r="A407" s="0" t="n">
        <v>406</v>
      </c>
      <c r="B407" s="18" t="n">
        <v>45639</v>
      </c>
      <c r="C407" s="0" t="n">
        <v>2024</v>
      </c>
      <c r="D407" s="0" t="n">
        <v>12</v>
      </c>
      <c r="E407" s="19" t="s">
        <v>782</v>
      </c>
      <c r="F407" s="19" t="s">
        <v>588</v>
      </c>
      <c r="G407" s="19" t="s">
        <v>1152</v>
      </c>
      <c r="H407" s="19" t="s">
        <v>362</v>
      </c>
      <c r="I407" s="19" t="s">
        <v>54</v>
      </c>
      <c r="J407" s="19" t="s">
        <v>1160</v>
      </c>
      <c r="K407" s="0" t="n">
        <v>1</v>
      </c>
      <c r="L407" s="20" t="n">
        <v>855.74</v>
      </c>
      <c r="M407" s="20" t="n">
        <v>584.42</v>
      </c>
      <c r="N407" s="20" t="n">
        <v>855.74</v>
      </c>
      <c r="O407" s="20" t="n">
        <v>584.42</v>
      </c>
      <c r="P407" s="20" t="n">
        <v>271.32</v>
      </c>
      <c r="Q407" s="21" t="n">
        <v>0.3171</v>
      </c>
      <c r="R407" s="19" t="s">
        <v>1145</v>
      </c>
    </row>
    <row r="408" customFormat="false" ht="15" hidden="false" customHeight="false" outlineLevel="0" collapsed="false">
      <c r="A408" s="0" t="n">
        <v>407</v>
      </c>
      <c r="B408" s="18" t="n">
        <v>45642</v>
      </c>
      <c r="C408" s="0" t="n">
        <v>2024</v>
      </c>
      <c r="D408" s="0" t="n">
        <v>12</v>
      </c>
      <c r="E408" s="19" t="s">
        <v>204</v>
      </c>
      <c r="F408" s="19" t="s">
        <v>698</v>
      </c>
      <c r="G408" s="19" t="s">
        <v>1163</v>
      </c>
      <c r="H408" s="19" t="s">
        <v>362</v>
      </c>
      <c r="I408" s="19" t="s">
        <v>35</v>
      </c>
      <c r="J408" s="19" t="s">
        <v>260</v>
      </c>
      <c r="K408" s="0" t="n">
        <v>1</v>
      </c>
      <c r="L408" s="20" t="n">
        <v>297.48</v>
      </c>
      <c r="M408" s="20" t="n">
        <v>214.23</v>
      </c>
      <c r="N408" s="20" t="n">
        <v>297.48</v>
      </c>
      <c r="O408" s="20" t="n">
        <v>214.23</v>
      </c>
      <c r="P408" s="20" t="n">
        <v>83.25</v>
      </c>
      <c r="Q408" s="21" t="n">
        <v>0.2799</v>
      </c>
      <c r="R408" s="19" t="s">
        <v>1145</v>
      </c>
    </row>
    <row r="409" customFormat="false" ht="15" hidden="false" customHeight="false" outlineLevel="0" collapsed="false">
      <c r="A409" s="0" t="n">
        <v>408</v>
      </c>
      <c r="B409" s="18" t="n">
        <v>45647</v>
      </c>
      <c r="C409" s="0" t="n">
        <v>2024</v>
      </c>
      <c r="D409" s="0" t="n">
        <v>12</v>
      </c>
      <c r="E409" s="19" t="s">
        <v>782</v>
      </c>
      <c r="F409" s="19" t="s">
        <v>960</v>
      </c>
      <c r="G409" s="19" t="s">
        <v>1146</v>
      </c>
      <c r="H409" s="19" t="s">
        <v>362</v>
      </c>
      <c r="I409" s="19" t="s">
        <v>54</v>
      </c>
      <c r="J409" s="19" t="s">
        <v>1156</v>
      </c>
      <c r="K409" s="0" t="n">
        <v>1</v>
      </c>
      <c r="L409" s="20" t="n">
        <v>2503.53</v>
      </c>
      <c r="M409" s="20" t="n">
        <v>1790.48</v>
      </c>
      <c r="N409" s="20" t="n">
        <v>2503.53</v>
      </c>
      <c r="O409" s="20" t="n">
        <v>1790.48</v>
      </c>
      <c r="P409" s="20" t="n">
        <v>713.05</v>
      </c>
      <c r="Q409" s="21" t="n">
        <v>0.2848</v>
      </c>
      <c r="R409" s="19" t="s">
        <v>1149</v>
      </c>
    </row>
    <row r="410" customFormat="false" ht="15" hidden="false" customHeight="false" outlineLevel="0" collapsed="false">
      <c r="A410" s="0" t="n">
        <v>409</v>
      </c>
      <c r="B410" s="18" t="n">
        <v>45651</v>
      </c>
      <c r="C410" s="0" t="n">
        <v>2024</v>
      </c>
      <c r="D410" s="0" t="n">
        <v>12</v>
      </c>
      <c r="E410" s="19" t="s">
        <v>782</v>
      </c>
      <c r="F410" s="19" t="s">
        <v>958</v>
      </c>
      <c r="G410" s="19" t="s">
        <v>902</v>
      </c>
      <c r="H410" s="19" t="s">
        <v>333</v>
      </c>
      <c r="I410" s="19" t="s">
        <v>54</v>
      </c>
      <c r="J410" s="19" t="s">
        <v>716</v>
      </c>
      <c r="K410" s="0" t="n">
        <v>1</v>
      </c>
      <c r="L410" s="20" t="n">
        <v>3738.5</v>
      </c>
      <c r="M410" s="20" t="n">
        <v>2083.82</v>
      </c>
      <c r="N410" s="20" t="n">
        <v>3738.5</v>
      </c>
      <c r="O410" s="20" t="n">
        <v>2083.82</v>
      </c>
      <c r="P410" s="20" t="n">
        <v>1654.68</v>
      </c>
      <c r="Q410" s="21" t="n">
        <v>0.4426</v>
      </c>
      <c r="R410" s="19" t="s">
        <v>1147</v>
      </c>
    </row>
    <row r="411" customFormat="false" ht="15" hidden="false" customHeight="false" outlineLevel="0" collapsed="false">
      <c r="A411" s="0" t="n">
        <v>410</v>
      </c>
      <c r="B411" s="18" t="n">
        <v>45654</v>
      </c>
      <c r="C411" s="0" t="n">
        <v>2024</v>
      </c>
      <c r="D411" s="0" t="n">
        <v>12</v>
      </c>
      <c r="E411" s="19" t="s">
        <v>782</v>
      </c>
      <c r="F411" s="19" t="s">
        <v>960</v>
      </c>
      <c r="G411" s="19" t="s">
        <v>1162</v>
      </c>
      <c r="H411" s="19" t="s">
        <v>362</v>
      </c>
      <c r="I411" s="19" t="s">
        <v>35</v>
      </c>
      <c r="J411" s="19" t="s">
        <v>758</v>
      </c>
      <c r="K411" s="0" t="n">
        <v>1</v>
      </c>
      <c r="L411" s="20" t="n">
        <v>4247.1</v>
      </c>
      <c r="M411" s="20" t="n">
        <v>2490.76</v>
      </c>
      <c r="N411" s="20" t="n">
        <v>4247.1</v>
      </c>
      <c r="O411" s="20" t="n">
        <v>2490.76</v>
      </c>
      <c r="P411" s="20" t="n">
        <v>1756.34</v>
      </c>
      <c r="Q411" s="21" t="n">
        <v>0.4135</v>
      </c>
      <c r="R411" s="19" t="s">
        <v>1147</v>
      </c>
    </row>
    <row r="412" customFormat="false" ht="15" hidden="false" customHeight="false" outlineLevel="0" collapsed="false">
      <c r="A412" s="0" t="n">
        <v>411</v>
      </c>
      <c r="B412" s="18" t="n">
        <v>45656</v>
      </c>
      <c r="C412" s="0" t="n">
        <v>2024</v>
      </c>
      <c r="D412" s="0" t="n">
        <v>12</v>
      </c>
      <c r="E412" s="19" t="s">
        <v>937</v>
      </c>
      <c r="F412" s="19" t="s">
        <v>958</v>
      </c>
      <c r="G412" s="19" t="s">
        <v>902</v>
      </c>
      <c r="H412" s="19" t="s">
        <v>333</v>
      </c>
      <c r="I412" s="19" t="s">
        <v>35</v>
      </c>
      <c r="J412" s="19" t="s">
        <v>1057</v>
      </c>
      <c r="K412" s="0" t="n">
        <v>1</v>
      </c>
      <c r="L412" s="20" t="n">
        <v>3681.44</v>
      </c>
      <c r="M412" s="20" t="n">
        <v>2278.31</v>
      </c>
      <c r="N412" s="20" t="n">
        <v>3681.44</v>
      </c>
      <c r="O412" s="20" t="n">
        <v>2278.31</v>
      </c>
      <c r="P412" s="20" t="n">
        <v>1403.13</v>
      </c>
      <c r="Q412" s="21" t="n">
        <v>0.3811</v>
      </c>
      <c r="R412" s="19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22"/>
  </cols>
  <sheetData>
    <row r="2" customFormat="false" ht="18.55" hidden="false" customHeight="false" outlineLevel="0" collapsed="false">
      <c r="B2" s="10" t="s">
        <v>1164</v>
      </c>
    </row>
    <row r="4" customFormat="false" ht="15" hidden="false" customHeight="false" outlineLevel="0" collapsed="false">
      <c r="B4" s="12" t="s">
        <v>1165</v>
      </c>
      <c r="D4" s="12" t="s">
        <v>1166</v>
      </c>
    </row>
    <row r="5" customFormat="false" ht="15" hidden="false" customHeight="false" outlineLevel="0" collapsed="false">
      <c r="B5" s="22" t="s">
        <v>1167</v>
      </c>
      <c r="D5" s="23" t="n">
        <f aca="false">SUM(Base_Tratada!N:N)</f>
        <v>1015597.61</v>
      </c>
    </row>
    <row r="6" customFormat="false" ht="15" hidden="false" customHeight="false" outlineLevel="0" collapsed="false">
      <c r="B6" s="22" t="s">
        <v>1168</v>
      </c>
      <c r="D6" s="23" t="n">
        <f aca="false">SUM(Base_Tratada!P:P)</f>
        <v>340779.86</v>
      </c>
    </row>
    <row r="7" customFormat="false" ht="15" hidden="false" customHeight="false" outlineLevel="0" collapsed="false">
      <c r="B7" s="22" t="s">
        <v>1169</v>
      </c>
      <c r="D7" s="24" t="n">
        <f aca="false">AVERAGE(Base_Tratada!Q:Q)</f>
        <v>0.334118491484185</v>
      </c>
    </row>
    <row r="8" customFormat="false" ht="15" hidden="false" customHeight="false" outlineLevel="0" collapsed="false">
      <c r="B8" s="22" t="s">
        <v>1170</v>
      </c>
      <c r="D8" s="25" t="n">
        <f aca="false">COUNT(Base_Tratada!A:A)</f>
        <v>411</v>
      </c>
    </row>
    <row r="9" customFormat="false" ht="15" hidden="false" customHeight="false" outlineLevel="0" collapsed="false">
      <c r="B9" s="22" t="s">
        <v>1171</v>
      </c>
      <c r="D9" s="23" t="n">
        <f aca="false">D5/D8</f>
        <v>2471.0404136253</v>
      </c>
    </row>
    <row r="10" customFormat="false" ht="15" hidden="false" customHeight="false" outlineLevel="0" collapsed="false">
      <c r="B10" s="22" t="s">
        <v>1172</v>
      </c>
      <c r="D10" s="25" t="n">
        <f aca="false">SUM(Base_Tratada!K:K)</f>
        <v>513</v>
      </c>
    </row>
    <row r="13" customFormat="false" ht="16.15" hidden="false" customHeight="false" outlineLevel="0" collapsed="false">
      <c r="B13" s="15" t="s">
        <v>1173</v>
      </c>
    </row>
    <row r="14" customFormat="false" ht="15" hidden="false" customHeight="false" outlineLevel="0" collapsed="false">
      <c r="B14" s="26" t="s">
        <v>1174</v>
      </c>
      <c r="D14" s="19" t="s">
        <v>698</v>
      </c>
    </row>
    <row r="15" customFormat="false" ht="15" hidden="false" customHeight="false" outlineLevel="0" collapsed="false">
      <c r="B15" s="26" t="s">
        <v>1175</v>
      </c>
      <c r="D15" s="19" t="s">
        <v>333</v>
      </c>
    </row>
    <row r="16" customFormat="false" ht="15" hidden="false" customHeight="false" outlineLevel="0" collapsed="false">
      <c r="B16" s="26" t="s">
        <v>1176</v>
      </c>
      <c r="D16" s="0" t="n">
        <v>2023</v>
      </c>
    </row>
    <row r="17" customFormat="false" ht="15" hidden="false" customHeight="false" outlineLevel="0" collapsed="false">
      <c r="B17" s="27" t="s">
        <v>1177</v>
      </c>
      <c r="D17" s="27" t="s">
        <v>1166</v>
      </c>
    </row>
    <row r="18" customFormat="false" ht="15" hidden="false" customHeight="false" outlineLevel="0" collapsed="false">
      <c r="B18" s="22" t="s">
        <v>1178</v>
      </c>
      <c r="D18" s="28" t="n">
        <f aca="false">SUMIFS(Base_Tratada!N:N,Base_Tratada!F:F,D14,Base_Tratada!H:H,D15,Base_Tratada!C:C,D16)</f>
        <v>4435.05</v>
      </c>
    </row>
    <row r="19" customFormat="false" ht="15" hidden="false" customHeight="false" outlineLevel="0" collapsed="false">
      <c r="B19" s="22" t="s">
        <v>1179</v>
      </c>
      <c r="D19" s="28" t="n">
        <f aca="false">SUMIFS(Base_Tratada!P:P,Base_Tratada!F:F,D14,Base_Tratada!H:H,D15,Base_Tratada!C:C,D16)</f>
        <v>1654.19</v>
      </c>
    </row>
    <row r="20" customFormat="false" ht="15" hidden="false" customHeight="false" outlineLevel="0" collapsed="false">
      <c r="B20" s="22" t="s">
        <v>1180</v>
      </c>
      <c r="D20" s="29" t="n">
        <f aca="false">COUNTIFS(Base_Tratada!F:F,D14,Base_Tratada!H:H,D15,Base_Tratada!C:C,D16)</f>
        <v>17</v>
      </c>
    </row>
    <row r="21" customFormat="false" ht="15" hidden="false" customHeight="false" outlineLevel="0" collapsed="false">
      <c r="B21" s="22" t="s">
        <v>1181</v>
      </c>
      <c r="D21" s="30" t="str">
        <f aca="false">IFERROR(INDEX(Base_Tratada!J2:J412,MATCH(SUMPRODUCT(MAX((Base_Tratada!F2:F412=D14)*(Base_Tratada!H2:H412=D15)*Base_Tratada!N2:N412)),Base_Tratada!N2:N412,0)),"—")</f>
        <v>Lucas Oliveira</v>
      </c>
    </row>
  </sheetData>
  <dataValidations count="3">
    <dataValidation allowBlank="false" errorStyle="stop" operator="between" showDropDown="false" showErrorMessage="false" showInputMessage="false" sqref="D14" type="list">
      <formula1>"Acessórios,Fones de Ouvido,Notebooks,Smartphones,Tablets"</formula1>
      <formula2>0</formula2>
    </dataValidation>
    <dataValidation allowBlank="false" errorStyle="stop" operator="between" showDropDown="false" showErrorMessage="false" showInputMessage="false" sqref="D15" type="list">
      <formula1>"Loja Física,Online"</formula1>
      <formula2>0</formula2>
    </dataValidation>
    <dataValidation allowBlank="false" errorStyle="stop" operator="between" showDropDown="false" showErrorMessage="false" showInputMessage="false" sqref="D16" type="list">
      <formula1>"2023,2024"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5"/>
  </cols>
  <sheetData>
    <row r="2" customFormat="false" ht="17.35" hidden="false" customHeight="false" outlineLevel="0" collapsed="false">
      <c r="B2" s="31" t="s">
        <v>1182</v>
      </c>
    </row>
    <row r="3" customFormat="false" ht="15" hidden="false" customHeight="false" outlineLevel="0" collapsed="false">
      <c r="B3" s="32" t="s">
        <v>1183</v>
      </c>
    </row>
    <row r="6" customFormat="false" ht="15" hidden="false" customHeight="false" outlineLevel="0" collapsed="false">
      <c r="B6" s="12" t="s">
        <v>1184</v>
      </c>
      <c r="C6" s="12" t="s">
        <v>333</v>
      </c>
      <c r="D6" s="12" t="s">
        <v>362</v>
      </c>
      <c r="E6" s="12" t="s">
        <v>1185</v>
      </c>
    </row>
    <row r="7" customFormat="false" ht="15" hidden="false" customHeight="false" outlineLevel="0" collapsed="false">
      <c r="B7" s="26" t="s">
        <v>698</v>
      </c>
      <c r="C7" s="33" t="n">
        <f aca="false">SUMIFS(Base_Tratada!N:N,Base_Tratada!F:F,$B7,Base_Tratada!H:H,C$6)</f>
        <v>8587.35</v>
      </c>
      <c r="D7" s="33" t="n">
        <f aca="false">SUMIFS(Base_Tratada!N:N,Base_Tratada!F:F,$B7,Base_Tratada!H:H,D$6)</f>
        <v>11548.6</v>
      </c>
      <c r="E7" s="34" t="n">
        <f aca="false">SUM(C7:D7)</f>
        <v>20135.95</v>
      </c>
    </row>
    <row r="8" customFormat="false" ht="15" hidden="false" customHeight="false" outlineLevel="0" collapsed="false">
      <c r="B8" s="26" t="s">
        <v>588</v>
      </c>
      <c r="C8" s="33" t="n">
        <f aca="false">SUMIFS(Base_Tratada!N:N,Base_Tratada!F:F,$B8,Base_Tratada!H:H,C$6)</f>
        <v>30686.34</v>
      </c>
      <c r="D8" s="33" t="n">
        <f aca="false">SUMIFS(Base_Tratada!N:N,Base_Tratada!F:F,$B8,Base_Tratada!H:H,D$6)</f>
        <v>30094.48</v>
      </c>
      <c r="E8" s="34" t="n">
        <f aca="false">SUM(C8:D8)</f>
        <v>60780.82</v>
      </c>
    </row>
    <row r="9" customFormat="false" ht="15" hidden="false" customHeight="false" outlineLevel="0" collapsed="false">
      <c r="B9" s="26" t="s">
        <v>960</v>
      </c>
      <c r="C9" s="33" t="n">
        <f aca="false">SUMIFS(Base_Tratada!N:N,Base_Tratada!F:F,$B9,Base_Tratada!H:H,C$6)</f>
        <v>73801.71</v>
      </c>
      <c r="D9" s="33" t="n">
        <f aca="false">SUMIFS(Base_Tratada!N:N,Base_Tratada!F:F,$B9,Base_Tratada!H:H,D$6)</f>
        <v>247270.2</v>
      </c>
      <c r="E9" s="34" t="n">
        <f aca="false">SUM(C9:D9)</f>
        <v>321071.91</v>
      </c>
    </row>
    <row r="10" customFormat="false" ht="15" hidden="false" customHeight="false" outlineLevel="0" collapsed="false">
      <c r="B10" s="26" t="s">
        <v>958</v>
      </c>
      <c r="C10" s="33" t="n">
        <f aca="false">SUMIFS(Base_Tratada!N:N,Base_Tratada!F:F,$B10,Base_Tratada!H:H,C$6)</f>
        <v>243969.81</v>
      </c>
      <c r="D10" s="33" t="n">
        <f aca="false">SUMIFS(Base_Tratada!N:N,Base_Tratada!F:F,$B10,Base_Tratada!H:H,D$6)</f>
        <v>224705.56</v>
      </c>
      <c r="E10" s="34" t="n">
        <f aca="false">SUM(C10:D10)</f>
        <v>468675.37</v>
      </c>
    </row>
    <row r="11" customFormat="false" ht="15" hidden="false" customHeight="false" outlineLevel="0" collapsed="false">
      <c r="B11" s="26" t="s">
        <v>853</v>
      </c>
      <c r="C11" s="33" t="n">
        <f aca="false">SUMIFS(Base_Tratada!N:N,Base_Tratada!F:F,$B11,Base_Tratada!H:H,C$6)</f>
        <v>72096.51</v>
      </c>
      <c r="D11" s="33" t="n">
        <f aca="false">SUMIFS(Base_Tratada!N:N,Base_Tratada!F:F,$B11,Base_Tratada!H:H,D$6)</f>
        <v>72837.05</v>
      </c>
      <c r="E11" s="34" t="n">
        <f aca="false">SUM(C11:D11)</f>
        <v>144933.56</v>
      </c>
    </row>
    <row r="12" customFormat="false" ht="15" hidden="false" customHeight="false" outlineLevel="0" collapsed="false">
      <c r="B12" s="35" t="s">
        <v>1185</v>
      </c>
      <c r="C12" s="36" t="n">
        <f aca="false">SUM(C7:C11)</f>
        <v>429141.72</v>
      </c>
      <c r="D12" s="36" t="n">
        <f aca="false">SUM(D7:D11)</f>
        <v>586455.89</v>
      </c>
      <c r="E12" s="36" t="n">
        <f aca="false">SUM(E7:E11)</f>
        <v>1015597.61</v>
      </c>
    </row>
    <row r="15" customFormat="false" ht="16.15" hidden="false" customHeight="false" outlineLevel="0" collapsed="false">
      <c r="B15" s="15" t="s">
        <v>1186</v>
      </c>
    </row>
    <row r="16" customFormat="false" ht="15" hidden="false" customHeight="false" outlineLevel="0" collapsed="false">
      <c r="B16" s="37" t="s">
        <v>1187</v>
      </c>
      <c r="C16" s="37" t="s">
        <v>1145</v>
      </c>
      <c r="D16" s="37" t="s">
        <v>1149</v>
      </c>
      <c r="E16" s="37" t="s">
        <v>1147</v>
      </c>
    </row>
    <row r="17" customFormat="false" ht="15" hidden="false" customHeight="false" outlineLevel="0" collapsed="false">
      <c r="B17" s="26" t="s">
        <v>685</v>
      </c>
      <c r="C17" s="38" t="n">
        <f aca="false">COUNTIFS(Base_Tratada!E:E,$B17,Base_Tratada!R:R,C$16)</f>
        <v>15</v>
      </c>
      <c r="D17" s="38" t="n">
        <f aca="false">COUNTIFS(Base_Tratada!E:E,$B17,Base_Tratada!R:R,D$16)</f>
        <v>13</v>
      </c>
      <c r="E17" s="38" t="n">
        <f aca="false">COUNTIFS(Base_Tratada!E:E,$B17,Base_Tratada!R:R,E$16)</f>
        <v>18</v>
      </c>
    </row>
    <row r="18" customFormat="false" ht="15" hidden="false" customHeight="false" outlineLevel="0" collapsed="false">
      <c r="B18" s="26" t="s">
        <v>268</v>
      </c>
      <c r="C18" s="38" t="n">
        <f aca="false">COUNTIFS(Base_Tratada!E:E,$B18,Base_Tratada!R:R,C$16)</f>
        <v>27</v>
      </c>
      <c r="D18" s="38" t="n">
        <f aca="false">COUNTIFS(Base_Tratada!E:E,$B18,Base_Tratada!R:R,D$16)</f>
        <v>14</v>
      </c>
      <c r="E18" s="38" t="n">
        <f aca="false">COUNTIFS(Base_Tratada!E:E,$B18,Base_Tratada!R:R,E$16)</f>
        <v>25</v>
      </c>
    </row>
    <row r="19" customFormat="false" ht="15" hidden="false" customHeight="false" outlineLevel="0" collapsed="false">
      <c r="B19" s="26" t="s">
        <v>937</v>
      </c>
      <c r="C19" s="38" t="n">
        <f aca="false">COUNTIFS(Base_Tratada!E:E,$B19,Base_Tratada!R:R,C$16)</f>
        <v>17</v>
      </c>
      <c r="D19" s="38" t="n">
        <f aca="false">COUNTIFS(Base_Tratada!E:E,$B19,Base_Tratada!R:R,D$16)</f>
        <v>14</v>
      </c>
      <c r="E19" s="38" t="n">
        <f aca="false">COUNTIFS(Base_Tratada!E:E,$B19,Base_Tratada!R:R,E$16)</f>
        <v>13</v>
      </c>
    </row>
    <row r="20" customFormat="false" ht="15" hidden="false" customHeight="false" outlineLevel="0" collapsed="false">
      <c r="B20" s="26" t="s">
        <v>782</v>
      </c>
      <c r="C20" s="38" t="n">
        <f aca="false">COUNTIFS(Base_Tratada!E:E,$B20,Base_Tratada!R:R,C$16)</f>
        <v>79</v>
      </c>
      <c r="D20" s="38" t="n">
        <f aca="false">COUNTIFS(Base_Tratada!E:E,$B20,Base_Tratada!R:R,D$16)</f>
        <v>40</v>
      </c>
      <c r="E20" s="38" t="n">
        <f aca="false">COUNTIFS(Base_Tratada!E:E,$B20,Base_Tratada!R:R,E$16)</f>
        <v>56</v>
      </c>
    </row>
    <row r="21" customFormat="false" ht="15" hidden="false" customHeight="false" outlineLevel="0" collapsed="false">
      <c r="B21" s="26" t="s">
        <v>204</v>
      </c>
      <c r="C21" s="38" t="n">
        <f aca="false">COUNTIFS(Base_Tratada!E:E,$B21,Base_Tratada!R:R,C$16)</f>
        <v>34</v>
      </c>
      <c r="D21" s="38" t="n">
        <f aca="false">COUNTIFS(Base_Tratada!E:E,$B21,Base_Tratada!R:R,D$16)</f>
        <v>21</v>
      </c>
      <c r="E21" s="38" t="n">
        <f aca="false">COUNTIFS(Base_Tratada!E:E,$B21,Base_Tratada!R:R,E$16)</f>
        <v>25</v>
      </c>
    </row>
    <row r="59" customFormat="false" ht="15" hidden="false" customHeight="false" outlineLevel="0" collapsed="false">
      <c r="B59" s="39" t="s">
        <v>1188</v>
      </c>
    </row>
    <row r="60" customFormat="false" ht="15" hidden="false" customHeight="false" outlineLevel="0" collapsed="false">
      <c r="B60" s="0" t="s">
        <v>1189</v>
      </c>
      <c r="C60" s="0" t="s">
        <v>1140</v>
      </c>
    </row>
    <row r="61" customFormat="false" ht="15" hidden="false" customHeight="false" outlineLevel="0" collapsed="false">
      <c r="B61" s="0" t="s">
        <v>1190</v>
      </c>
      <c r="C61" s="33" t="n">
        <f aca="false">SUMIFS(Base_Tratada!N:N,Base_Tratada!C:C,2023,Base_Tratada!D:D,1)</f>
        <v>22280.18</v>
      </c>
    </row>
    <row r="62" customFormat="false" ht="15" hidden="false" customHeight="false" outlineLevel="0" collapsed="false">
      <c r="B62" s="0" t="s">
        <v>1191</v>
      </c>
      <c r="C62" s="33" t="n">
        <f aca="false">SUMIFS(Base_Tratada!N:N,Base_Tratada!C:C,2023,Base_Tratada!D:D,2)</f>
        <v>25651.81</v>
      </c>
    </row>
    <row r="63" customFormat="false" ht="15" hidden="false" customHeight="false" outlineLevel="0" collapsed="false">
      <c r="B63" s="0" t="s">
        <v>1192</v>
      </c>
      <c r="C63" s="33" t="n">
        <f aca="false">SUMIFS(Base_Tratada!N:N,Base_Tratada!C:C,2023,Base_Tratada!D:D,3)</f>
        <v>75293.56</v>
      </c>
    </row>
    <row r="64" customFormat="false" ht="15" hidden="false" customHeight="false" outlineLevel="0" collapsed="false">
      <c r="B64" s="0" t="s">
        <v>1193</v>
      </c>
      <c r="C64" s="33" t="n">
        <f aca="false">SUMIFS(Base_Tratada!N:N,Base_Tratada!C:C,2023,Base_Tratada!D:D,4)</f>
        <v>70785.13</v>
      </c>
    </row>
    <row r="65" customFormat="false" ht="15" hidden="false" customHeight="false" outlineLevel="0" collapsed="false">
      <c r="B65" s="0" t="s">
        <v>1194</v>
      </c>
      <c r="C65" s="33" t="n">
        <f aca="false">SUMIFS(Base_Tratada!N:N,Base_Tratada!C:C,2023,Base_Tratada!D:D,5)</f>
        <v>31612.36</v>
      </c>
    </row>
    <row r="66" customFormat="false" ht="15" hidden="false" customHeight="false" outlineLevel="0" collapsed="false">
      <c r="B66" s="0" t="s">
        <v>1195</v>
      </c>
      <c r="C66" s="33" t="n">
        <f aca="false">SUMIFS(Base_Tratada!N:N,Base_Tratada!C:C,2023,Base_Tratada!D:D,6)</f>
        <v>33521.97</v>
      </c>
    </row>
    <row r="67" customFormat="false" ht="15" hidden="false" customHeight="false" outlineLevel="0" collapsed="false">
      <c r="B67" s="0" t="s">
        <v>1196</v>
      </c>
      <c r="C67" s="33" t="n">
        <f aca="false">SUMIFS(Base_Tratada!N:N,Base_Tratada!C:C,2023,Base_Tratada!D:D,7)</f>
        <v>29480.17</v>
      </c>
    </row>
    <row r="68" customFormat="false" ht="15" hidden="false" customHeight="false" outlineLevel="0" collapsed="false">
      <c r="B68" s="0" t="s">
        <v>1197</v>
      </c>
      <c r="C68" s="33" t="n">
        <f aca="false">SUMIFS(Base_Tratada!N:N,Base_Tratada!C:C,2023,Base_Tratada!D:D,8)</f>
        <v>40435.57</v>
      </c>
    </row>
    <row r="69" customFormat="false" ht="15" hidden="false" customHeight="false" outlineLevel="0" collapsed="false">
      <c r="B69" s="0" t="s">
        <v>1198</v>
      </c>
      <c r="C69" s="33" t="n">
        <f aca="false">SUMIFS(Base_Tratada!N:N,Base_Tratada!C:C,2023,Base_Tratada!D:D,9)</f>
        <v>22605.33</v>
      </c>
    </row>
    <row r="70" customFormat="false" ht="15" hidden="false" customHeight="false" outlineLevel="0" collapsed="false">
      <c r="B70" s="0" t="s">
        <v>1199</v>
      </c>
      <c r="C70" s="33" t="n">
        <f aca="false">SUMIFS(Base_Tratada!N:N,Base_Tratada!C:C,2023,Base_Tratada!D:D,10)</f>
        <v>30046.72</v>
      </c>
    </row>
    <row r="71" customFormat="false" ht="15" hidden="false" customHeight="false" outlineLevel="0" collapsed="false">
      <c r="B71" s="0" t="s">
        <v>1200</v>
      </c>
      <c r="C71" s="33" t="n">
        <f aca="false">SUMIFS(Base_Tratada!N:N,Base_Tratada!C:C,2023,Base_Tratada!D:D,11)</f>
        <v>50154.31</v>
      </c>
    </row>
    <row r="72" customFormat="false" ht="15" hidden="false" customHeight="false" outlineLevel="0" collapsed="false">
      <c r="B72" s="0" t="s">
        <v>1201</v>
      </c>
      <c r="C72" s="33" t="n">
        <f aca="false">SUMIFS(Base_Tratada!N:N,Base_Tratada!C:C,2023,Base_Tratada!D:D,12)</f>
        <v>70724.14</v>
      </c>
    </row>
    <row r="73" customFormat="false" ht="15" hidden="false" customHeight="false" outlineLevel="0" collapsed="false">
      <c r="B73" s="0" t="s">
        <v>1202</v>
      </c>
      <c r="C73" s="33" t="n">
        <f aca="false">SUMIFS(Base_Tratada!N:N,Base_Tratada!C:C,2024,Base_Tratada!D:D,1)</f>
        <v>26891.71</v>
      </c>
    </row>
    <row r="74" customFormat="false" ht="15" hidden="false" customHeight="false" outlineLevel="0" collapsed="false">
      <c r="B74" s="0" t="s">
        <v>1203</v>
      </c>
      <c r="C74" s="33" t="n">
        <f aca="false">SUMIFS(Base_Tratada!N:N,Base_Tratada!C:C,2024,Base_Tratada!D:D,2)</f>
        <v>39853.66</v>
      </c>
    </row>
    <row r="75" customFormat="false" ht="15" hidden="false" customHeight="false" outlineLevel="0" collapsed="false">
      <c r="B75" s="0" t="s">
        <v>1204</v>
      </c>
      <c r="C75" s="33" t="n">
        <f aca="false">SUMIFS(Base_Tratada!N:N,Base_Tratada!C:C,2024,Base_Tratada!D:D,3)</f>
        <v>39096.75</v>
      </c>
    </row>
    <row r="76" customFormat="false" ht="15" hidden="false" customHeight="false" outlineLevel="0" collapsed="false">
      <c r="B76" s="0" t="s">
        <v>1205</v>
      </c>
      <c r="C76" s="33" t="n">
        <f aca="false">SUMIFS(Base_Tratada!N:N,Base_Tratada!C:C,2024,Base_Tratada!D:D,4)</f>
        <v>62074.87</v>
      </c>
    </row>
    <row r="77" customFormat="false" ht="15" hidden="false" customHeight="false" outlineLevel="0" collapsed="false">
      <c r="B77" s="0" t="s">
        <v>1206</v>
      </c>
      <c r="C77" s="33" t="n">
        <f aca="false">SUMIFS(Base_Tratada!N:N,Base_Tratada!C:C,2024,Base_Tratada!D:D,5)</f>
        <v>39454.9</v>
      </c>
    </row>
    <row r="78" customFormat="false" ht="15" hidden="false" customHeight="false" outlineLevel="0" collapsed="false">
      <c r="B78" s="0" t="s">
        <v>1207</v>
      </c>
      <c r="C78" s="33" t="n">
        <f aca="false">SUMIFS(Base_Tratada!N:N,Base_Tratada!C:C,2024,Base_Tratada!D:D,6)</f>
        <v>37682.44</v>
      </c>
    </row>
    <row r="79" customFormat="false" ht="15" hidden="false" customHeight="false" outlineLevel="0" collapsed="false">
      <c r="B79" s="0" t="s">
        <v>1208</v>
      </c>
      <c r="C79" s="33" t="n">
        <f aca="false">SUMIFS(Base_Tratada!N:N,Base_Tratada!C:C,2024,Base_Tratada!D:D,7)</f>
        <v>68097.81</v>
      </c>
    </row>
    <row r="80" customFormat="false" ht="15" hidden="false" customHeight="false" outlineLevel="0" collapsed="false">
      <c r="B80" s="0" t="s">
        <v>1209</v>
      </c>
      <c r="C80" s="33" t="n">
        <f aca="false">SUMIFS(Base_Tratada!N:N,Base_Tratada!C:C,2024,Base_Tratada!D:D,8)</f>
        <v>61396.74</v>
      </c>
    </row>
    <row r="81" customFormat="false" ht="15" hidden="false" customHeight="false" outlineLevel="0" collapsed="false">
      <c r="B81" s="0" t="s">
        <v>1210</v>
      </c>
      <c r="C81" s="33" t="n">
        <f aca="false">SUMIFS(Base_Tratada!N:N,Base_Tratada!C:C,2024,Base_Tratada!D:D,9)</f>
        <v>39152.21</v>
      </c>
    </row>
    <row r="82" customFormat="false" ht="15" hidden="false" customHeight="false" outlineLevel="0" collapsed="false">
      <c r="B82" s="0" t="s">
        <v>1211</v>
      </c>
      <c r="C82" s="33" t="n">
        <f aca="false">SUMIFS(Base_Tratada!N:N,Base_Tratada!C:C,2024,Base_Tratada!D:D,10)</f>
        <v>25629.95</v>
      </c>
    </row>
    <row r="83" customFormat="false" ht="15" hidden="false" customHeight="false" outlineLevel="0" collapsed="false">
      <c r="B83" s="0" t="s">
        <v>1212</v>
      </c>
      <c r="C83" s="33" t="n">
        <f aca="false">SUMIFS(Base_Tratada!N:N,Base_Tratada!C:C,2024,Base_Tratada!D:D,11)</f>
        <v>43004.65</v>
      </c>
    </row>
    <row r="84" customFormat="false" ht="15" hidden="false" customHeight="false" outlineLevel="0" collapsed="false">
      <c r="B84" s="0" t="s">
        <v>1213</v>
      </c>
      <c r="C84" s="33" t="n">
        <f aca="false">SUMIFS(Base_Tratada!N:N,Base_Tratada!C:C,2024,Base_Tratada!D:D,12)</f>
        <v>30670.67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M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3"/>
  </cols>
  <sheetData>
    <row r="2" customFormat="false" ht="19.7" hidden="false" customHeight="false" outlineLevel="0" collapsed="false">
      <c r="B2" s="40" t="s">
        <v>1214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customFormat="false" ht="18" hidden="false" customHeight="true" outlineLevel="0" collapsed="false">
      <c r="B4" s="41" t="s">
        <v>1215</v>
      </c>
      <c r="C4" s="41"/>
      <c r="E4" s="42" t="s">
        <v>1216</v>
      </c>
      <c r="F4" s="42"/>
      <c r="H4" s="43" t="s">
        <v>1217</v>
      </c>
      <c r="I4" s="43"/>
      <c r="K4" s="44" t="s">
        <v>1218</v>
      </c>
      <c r="L4" s="44"/>
    </row>
    <row r="5" customFormat="false" ht="30" hidden="false" customHeight="true" outlineLevel="0" collapsed="false">
      <c r="B5" s="45" t="n">
        <f aca="false">Medida_ReceitaTotal</f>
        <v>1015597.61</v>
      </c>
      <c r="C5" s="45"/>
      <c r="E5" s="46" t="n">
        <f aca="false">Medida_LucroTotal</f>
        <v>340779.86</v>
      </c>
      <c r="F5" s="46"/>
      <c r="H5" s="47" t="n">
        <f aca="false">Medida_MargemMedia</f>
        <v>0.334118491484185</v>
      </c>
      <c r="I5" s="47"/>
      <c r="K5" s="48" t="n">
        <f aca="false">Medida_TicketMedio</f>
        <v>2471.0404136253</v>
      </c>
      <c r="L5" s="48"/>
    </row>
    <row r="6" customFormat="false" ht="15" hidden="false" customHeight="false" outlineLevel="0" collapsed="false">
      <c r="B6" s="45"/>
      <c r="C6" s="45"/>
      <c r="E6" s="46"/>
      <c r="F6" s="46"/>
      <c r="H6" s="47"/>
      <c r="I6" s="47"/>
      <c r="K6" s="48"/>
      <c r="L6" s="48"/>
    </row>
  </sheetData>
  <mergeCells count="9">
    <mergeCell ref="B2:M2"/>
    <mergeCell ref="B4:C4"/>
    <mergeCell ref="E4:F4"/>
    <mergeCell ref="H4:I4"/>
    <mergeCell ref="K4:L4"/>
    <mergeCell ref="B5:C6"/>
    <mergeCell ref="E5:F6"/>
    <mergeCell ref="H5:I6"/>
    <mergeCell ref="K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2026-07-09T22:57:44Z</dcterms:created>
  <dc:creator>openpyxl</dc:creator>
  <dc:description/>
  <dc:language>en-US</dc:language>
  <cp:lastModifiedBy/>
  <dcterms:modified xsi:type="dcterms:W3CDTF">2026-07-09T22:57:47Z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